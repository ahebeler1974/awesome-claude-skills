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TAP" sheetId="2" state="visible" r:id="rId2"/>
    <sheet name="🗂️ EAP" sheetId="3" state="visible" r:id="rId3"/>
    <sheet name="📅 Cronograma" sheetId="4" state="visible" r:id="rId4"/>
    <sheet name="💰 EVM" sheetId="5" state="visible" r:id="rId5"/>
    <sheet name="⚠️ Riscos" sheetId="6" state="visible" r:id="rId6"/>
    <sheet name="👥 Stakeholders" sheetId="7" state="visible" r:id="rId7"/>
    <sheet name="🔄 Mudanças" sheetId="8" state="visible" r:id="rId8"/>
    <sheet name="🚧 Questões" sheetId="9" state="visible" r:id="rId9"/>
    <sheet name="📚 Lições" sheetId="10" state="visible" r:id="rId10"/>
    <sheet name="📖 Ajuda" sheetId="11" state="visible" r:id="rId11"/>
    <sheet name="Listas" sheetId="12" state="hidden" r:id="rId12"/>
  </sheets>
  <definedNames>
    <definedName name="ListaStatus">Listas!$A$2:$A$6</definedName>
    <definedName name="ListaPrioridade">Listas!$B$2:$B$4</definedName>
    <definedName name="ListaSimNao">Listas!$C$2:$C$3</definedName>
    <definedName name="ListaCatRisco">Listas!$D$2:$D$7</definedName>
    <definedName name="ListaEstrategia">Listas!$E$2:$E$7</definedName>
    <definedName name="ListaStatusRisco">Listas!$F$2:$F$5</definedName>
    <definedName name="ListaStatusMudanca">Listas!$G$2:$G$6</definedName>
    <definedName name="ListaStatusQuestao">Listas!$H$2:$H$5</definedName>
    <definedName name="ListaEngajamento">Listas!$I$2:$I$6</definedName>
    <definedName name="ListaFase">Listas!$J$2:$J$6</definedName>
    <definedName name="ListaCatLicao">Listas!$K$2:$K$7</definedName>
    <definedName name="Lista15">Listas!$L$2:$L$6</definedName>
    <definedName name="_xlnm._FilterDatabase" localSheetId="2" hidden="1">'🗂️ EAP'!$A$3:$F$21</definedName>
    <definedName name="_xlnm._FilterDatabase" localSheetId="3" hidden="1">'📅 Cronograma'!$A$4:$L$25</definedName>
    <definedName name="_xlnm._FilterDatabase" localSheetId="5" hidden="1">'⚠️ Riscos'!$A$3:$O$13</definedName>
    <definedName name="_xlnm._FilterDatabase" localSheetId="6" hidden="1">'👥 Stakeholders'!$A$3:$L$11</definedName>
    <definedName name="_xlnm._FilterDatabase" localSheetId="7" hidden="1">'🔄 Mudanças'!$A$3:$L$7</definedName>
    <definedName name="_xlnm._FilterDatabase" localSheetId="8" hidden="1">'🚧 Questões'!$A$3:$K$9</definedName>
    <definedName name="_xlnm._FilterDatabase" localSheetId="9" hidden="1">'📚 Lições'!$A$3:$I$7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R$ #,##0.00"/>
    <numFmt numFmtId="167" formatCode="DD/MM"/>
    <numFmt numFmtId="168" formatCode="R$ #,##0"/>
  </numFmts>
  <fonts count="13">
    <font>
      <name val="Calibri"/>
      <family val="2"/>
      <color theme="1"/>
      <sz val="11"/>
      <scheme val="minor"/>
    </font>
    <font>
      <b val="1"/>
    </font>
    <font>
      <b val="1"/>
      <color rgb="00FFFFFF"/>
      <sz val="18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b val="1"/>
      <color rgb="00FFFFFF"/>
      <sz val="16"/>
    </font>
    <font>
      <color rgb="00808080"/>
      <sz val="9"/>
    </font>
    <font>
      <b val="1"/>
      <color rgb="00FFFFFF"/>
      <sz val="8"/>
    </font>
    <font>
      <b val="1"/>
      <color rgb="00000000"/>
      <sz val="8"/>
    </font>
    <font>
      <b val="1"/>
      <color rgb="00FFFFFF"/>
      <sz val="20"/>
    </font>
    <font>
      <i val="1"/>
      <color rgb="00808080"/>
      <sz val="11"/>
    </font>
    <font>
      <b val="1"/>
      <color rgb="00000000"/>
      <sz val="22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E5FA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BE2D5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12" fillId="5" borderId="1" applyAlignment="1" pivotButton="0" quotePrefix="0" xfId="0">
      <alignment horizontal="center" vertical="center"/>
    </xf>
    <xf numFmtId="0" fontId="0" fillId="5" borderId="1" pivotButton="0" quotePrefix="0" xfId="0"/>
    <xf numFmtId="9" fontId="12" fillId="5" borderId="1" applyAlignment="1" pivotButton="0" quotePrefix="0" xfId="0">
      <alignment horizontal="center" vertical="center"/>
    </xf>
    <xf numFmtId="2" fontId="12" fillId="5" borderId="1" applyAlignment="1" pivotButton="0" quotePrefix="0" xfId="0">
      <alignment horizontal="center" vertical="center"/>
    </xf>
    <xf numFmtId="1" fontId="12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11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168" fontId="4" fillId="0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7" fontId="8" fillId="2" borderId="1" applyAlignment="1" pivotButton="0" quotePrefix="0" xfId="0">
      <alignment horizontal="center" vertical="bottom" textRotation="90"/>
    </xf>
    <xf numFmtId="0" fontId="4" fillId="0" borderId="1" applyAlignment="1" pivotButton="0" quotePrefix="0" xfId="0">
      <alignment horizontal="left" vertical="center" wrapText="1"/>
    </xf>
    <xf numFmtId="168" fontId="5" fillId="0" borderId="1" applyAlignment="1" pivotButton="0" quotePrefix="0" xfId="0">
      <alignment horizontal="left" vertical="center"/>
    </xf>
    <xf numFmtId="9" fontId="5" fillId="6" borderId="1" applyAlignment="1" pivotButton="0" quotePrefix="0" xfId="0">
      <alignment horizontal="center" vertical="center"/>
    </xf>
    <xf numFmtId="168" fontId="5" fillId="6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8" fontId="3" fillId="2" borderId="1" applyAlignment="1" pivotButton="0" quotePrefix="0" xfId="0">
      <alignment horizontal="left" vertical="center"/>
    </xf>
    <xf numFmtId="9" fontId="3" fillId="2" borderId="1" applyAlignment="1" pivotButton="0" quotePrefix="0" xfId="0">
      <alignment horizontal="center" vertical="center"/>
    </xf>
    <xf numFmtId="2" fontId="3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3" fontId="5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FCE4E4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4472C4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FBE2D5"/>
        </patternFill>
      </fill>
    </dxf>
    <dxf>
      <fill>
        <patternFill patternType="solid">
          <fgColor rgb="00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Curva S — PV × EV × AC (R$ mil)</a:t>
            </a:r>
          </a:p>
        </rich>
      </tx>
    </title>
    <plotArea>
      <lineChart>
        <grouping val="standard"/>
        <ser>
          <idx val="0"/>
          <order val="0"/>
          <tx>
            <strRef>
              <f>'💰 EVM'!B19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'💰 EVM'!$C$18:$J$18</f>
            </numRef>
          </cat>
          <val>
            <numRef>
              <f>'💰 EVM'!$C$19:$J$19</f>
            </numRef>
          </val>
        </ser>
        <ser>
          <idx val="1"/>
          <order val="1"/>
          <tx>
            <strRef>
              <f>'💰 EVM'!B20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'💰 EVM'!$C$18:$J$18</f>
            </numRef>
          </cat>
          <val>
            <numRef>
              <f>'💰 EVM'!$C$20:$J$20</f>
            </numRef>
          </val>
        </ser>
        <ser>
          <idx val="2"/>
          <order val="2"/>
          <tx>
            <strRef>
              <f>'💰 EVM'!B21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'💰 EVM'!$C$18:$J$18</f>
            </numRef>
          </cat>
          <val>
            <numRef>
              <f>'💰 EVM'!$C$21:$J$21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 mil (acum.)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Tarefas por Status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'📊 Dashboard'!$B$10:$B$13</f>
            </numRef>
          </cat>
          <val>
            <numRef>
              <f>'📊 Dashboard'!$C$10:$C$13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Riscos Abertos por Nível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'📊 Dashboard'!$G$10:$G$13</f>
            </numRef>
          </cat>
          <val>
            <numRef>
              <f>'📊 Dashboard'!$H$10:$H$13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21</row>
      <rowOff>0</rowOff>
    </from>
    <ext cx="30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21</row>
      <rowOff>0</rowOff>
    </from>
    <ext cx="30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O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2" customWidth="1" min="6" max="6"/>
    <col width="16" customWidth="1" min="7" max="7"/>
    <col width="14" customWidth="1" min="8" max="8"/>
    <col width="14" customWidth="1" min="9" max="9"/>
    <col width="14" customWidth="1" min="10" max="10"/>
    <col width="2" customWidth="1" min="11" max="11"/>
    <col width="16" customWidth="1" min="12" max="12"/>
    <col width="13" customWidth="1" min="13" max="13"/>
    <col width="13" customWidth="1" min="14" max="14"/>
    <col width="13" customWidth="1" min="15" max="15"/>
    <col width="2" customWidth="1" min="16" max="16"/>
  </cols>
  <sheetData>
    <row r="2" ht="40" customHeight="1">
      <c r="B2" s="1" t="inlineStr">
        <is>
          <t>DASHBOARD EXECUTIVO DO PROJETO</t>
        </is>
      </c>
    </row>
    <row r="3">
      <c r="B3" s="2">
        <f>'📋 TAP'!C4&amp;"  |  GP: "&amp;'📋 TAP'!C6&amp;"  |  Atualizado em: "&amp;DAY(TODAY())&amp;"/"&amp;MONTH(TODAY())&amp;"/"&amp;YEAR(TODAY())</f>
        <v/>
      </c>
    </row>
    <row r="5">
      <c r="B5" s="3" t="inlineStr">
        <is>
          <t>SAÚDE GERAL</t>
        </is>
      </c>
      <c r="C5" s="4" t="n"/>
      <c r="D5" s="3" t="inlineStr">
        <is>
          <t>AVANÇO FÍSICO</t>
        </is>
      </c>
      <c r="E5" s="4" t="n"/>
      <c r="G5" s="3" t="inlineStr">
        <is>
          <t>SPI (PRAZO)</t>
        </is>
      </c>
      <c r="H5" s="4" t="n"/>
      <c r="I5" s="3" t="inlineStr">
        <is>
          <t>CPI (CUSTO)</t>
        </is>
      </c>
      <c r="J5" s="4" t="n"/>
      <c r="L5" s="3" t="inlineStr">
        <is>
          <t>DIAS P/ TÉRMINO</t>
        </is>
      </c>
      <c r="M5" s="4" t="n"/>
      <c r="N5" s="5" t="inlineStr">
        <is>
          <t>RISCOS CRÍT.+ALTOS</t>
        </is>
      </c>
      <c r="O5" s="6" t="n"/>
    </row>
    <row r="6" ht="26" customHeight="1">
      <c r="B6" s="7">
        <f>IF(AND('💰 EVM'!N13&gt;=0.95,'💰 EVM'!M13&gt;=0.95),"🟢 NO RUMO",IF(OR('💰 EVM'!N13&lt;0.85,'💰 EVM'!M13&lt;0.85),"🔴 CRÍTICO","🟡 ATENÇÃO"))</f>
        <v/>
      </c>
      <c r="C6" s="8" t="n"/>
      <c r="D6" s="9">
        <f>AVERAGE('📅 Cronograma'!$I$5:$I$25)</f>
        <v/>
      </c>
      <c r="E6" s="8" t="n"/>
      <c r="G6" s="10">
        <f>'💰 EVM'!M13</f>
        <v/>
      </c>
      <c r="H6" s="8" t="n"/>
      <c r="I6" s="10">
        <f>'💰 EVM'!N13</f>
        <v/>
      </c>
      <c r="J6" s="8" t="n"/>
      <c r="L6" s="11">
        <f>'📋 TAP'!C9-TODAY()</f>
        <v/>
      </c>
      <c r="M6" s="8" t="n"/>
      <c r="N6" s="11">
        <f>SUMPRODUCT(--(ISNUMBER(SEARCH("Crítico",'⚠️ Riscos'!$H$4:$H$33))))+SUMPRODUCT(--(ISNUMBER(SEARCH("Alto",'⚠️ Riscos'!$H$4:$H$33))))</f>
        <v/>
      </c>
      <c r="O6" s="8" t="n"/>
    </row>
    <row r="7" ht="16" customHeight="1">
      <c r="B7" s="8" t="n"/>
      <c r="C7" s="8" t="n"/>
      <c r="D7" s="8" t="n"/>
      <c r="E7" s="8" t="n"/>
      <c r="G7" s="8" t="n"/>
      <c r="H7" s="8" t="n"/>
      <c r="I7" s="8" t="n"/>
      <c r="J7" s="8" t="n"/>
      <c r="L7" s="8" t="n"/>
      <c r="M7" s="8" t="n"/>
      <c r="N7" s="8" t="n"/>
      <c r="O7" s="8" t="n"/>
    </row>
    <row r="9">
      <c r="B9" s="12" t="inlineStr">
        <is>
          <t>TAREFAS DO CRONOGRAMA</t>
        </is>
      </c>
      <c r="C9" s="13" t="n"/>
      <c r="D9" s="13" t="n"/>
      <c r="E9" s="13" t="n"/>
      <c r="G9" s="5" t="inlineStr">
        <is>
          <t>RISCOS ABERTOS POR NÍVEL</t>
        </is>
      </c>
      <c r="H9" s="13" t="n"/>
      <c r="I9" s="13" t="n"/>
      <c r="J9" s="13" t="n"/>
      <c r="L9" s="14" t="inlineStr">
        <is>
          <t>PENDÊNCIAS E MUDANÇAS</t>
        </is>
      </c>
      <c r="M9" s="13" t="n"/>
      <c r="N9" s="13" t="n"/>
      <c r="O9" s="13" t="n"/>
    </row>
    <row r="10">
      <c r="B10" s="15" t="inlineStr">
        <is>
          <t>✅ Concluídas</t>
        </is>
      </c>
      <c r="C10" s="16">
        <f>COUNTIF('📅 Cronograma'!$J$5:$J$55,"*Concluída*")</f>
        <v/>
      </c>
      <c r="D10" s="13" t="n"/>
      <c r="E10" s="17">
        <f>IFERROR(C10/SUM($C$10:$C$13),0)</f>
        <v/>
      </c>
      <c r="G10" s="18" t="inlineStr">
        <is>
          <t>🔴 Crítico</t>
        </is>
      </c>
      <c r="H10" s="16">
        <f>SUMPRODUCT(--(ISNUMBER(SEARCH("Crítico",'⚠️ Riscos'!$H$4:$H$33))),--('⚠️ Riscos'!$L$4:$L$33&lt;&gt;"Encerrado"))</f>
        <v/>
      </c>
      <c r="I10" s="13" t="n"/>
      <c r="J10" s="19" t="inlineStr"/>
      <c r="L10" s="20" t="inlineStr">
        <is>
          <t>Questões abertas</t>
        </is>
      </c>
      <c r="M10" s="13" t="n"/>
      <c r="N10" s="21">
        <f>SUMPRODUCT(--('🚧 Questões'!$H$4:$H$29&lt;&gt;""),--('🚧 Questões'!$H$4:$H$29&lt;&gt;"Resolvida"))</f>
        <v/>
      </c>
      <c r="O10" s="13" t="n"/>
    </row>
    <row r="11">
      <c r="B11" s="22" t="inlineStr">
        <is>
          <t>🟡 Em Andamento</t>
        </is>
      </c>
      <c r="C11" s="16">
        <f>COUNTIF('📅 Cronograma'!$J$5:$J$55,"*Em Andamento*")</f>
        <v/>
      </c>
      <c r="D11" s="13" t="n"/>
      <c r="E11" s="17">
        <f>IFERROR(C11/SUM($C$10:$C$13),0)</f>
        <v/>
      </c>
      <c r="G11" s="23" t="inlineStr">
        <is>
          <t>🟠 Alto</t>
        </is>
      </c>
      <c r="H11" s="16">
        <f>SUMPRODUCT(--(ISNUMBER(SEARCH("Alto",'⚠️ Riscos'!$H$4:$H$33))),--('⚠️ Riscos'!$L$4:$L$33&lt;&gt;"Encerrado"))</f>
        <v/>
      </c>
      <c r="I11" s="13" t="n"/>
      <c r="J11" s="19" t="inlineStr"/>
      <c r="L11" s="20" t="inlineStr">
        <is>
          <t>Questões escaladas</t>
        </is>
      </c>
      <c r="M11" s="13" t="n"/>
      <c r="N11" s="21">
        <f>COUNTIF('🚧 Questões'!$H$4:$H$29,"Escalada")</f>
        <v/>
      </c>
      <c r="O11" s="13" t="n"/>
    </row>
    <row r="12">
      <c r="B12" s="18" t="inlineStr">
        <is>
          <t>🔴 Atrasadas</t>
        </is>
      </c>
      <c r="C12" s="16">
        <f>COUNTIF('📅 Cronograma'!$J$5:$J$55,"*Atrasada*")</f>
        <v/>
      </c>
      <c r="D12" s="13" t="n"/>
      <c r="E12" s="17">
        <f>IFERROR(C12/SUM($C$10:$C$13),0)</f>
        <v/>
      </c>
      <c r="G12" s="22" t="inlineStr">
        <is>
          <t>🟡 Moderado</t>
        </is>
      </c>
      <c r="H12" s="16">
        <f>SUMPRODUCT(--(ISNUMBER(SEARCH("Moderado",'⚠️ Riscos'!$H$4:$H$33))),--('⚠️ Riscos'!$L$4:$L$33&lt;&gt;"Encerrado"))</f>
        <v/>
      </c>
      <c r="I12" s="13" t="n"/>
      <c r="J12" s="19" t="inlineStr"/>
      <c r="L12" s="20" t="inlineStr">
        <is>
          <t>Mudanças em análise</t>
        </is>
      </c>
      <c r="M12" s="13" t="n"/>
      <c r="N12" s="21">
        <f>COUNTIF('🔄 Mudanças'!$J$4:$J$22,"Em Análise")</f>
        <v/>
      </c>
      <c r="O12" s="13" t="n"/>
    </row>
    <row r="13">
      <c r="B13" s="20" t="inlineStr">
        <is>
          <t>⚪ Não Iniciadas</t>
        </is>
      </c>
      <c r="C13" s="16">
        <f>COUNTIF('📅 Cronograma'!$J$5:$J$55,"*Não Iniciada*")</f>
        <v/>
      </c>
      <c r="D13" s="13" t="n"/>
      <c r="E13" s="17">
        <f>IFERROR(C13/SUM($C$10:$C$13),0)</f>
        <v/>
      </c>
      <c r="G13" s="15" t="inlineStr">
        <is>
          <t>🟢 Baixo</t>
        </is>
      </c>
      <c r="H13" s="16">
        <f>SUMPRODUCT(--(ISNUMBER(SEARCH("Baixo",'⚠️ Riscos'!$H$4:$H$33))),--('⚠️ Riscos'!$L$4:$L$33&lt;&gt;"Encerrado"))</f>
        <v/>
      </c>
      <c r="I13" s="13" t="n"/>
      <c r="J13" s="19" t="inlineStr"/>
      <c r="L13" s="20" t="inlineStr">
        <is>
          <t>Custo de mudanças aprov.</t>
        </is>
      </c>
      <c r="M13" s="13" t="n"/>
      <c r="N13" s="24">
        <f>SUMIFS('🔄 Mudanças'!$H$4:$H$22,'🔄 Mudanças'!$J$4:$J$22,"Aprovada")</f>
        <v/>
      </c>
      <c r="O13" s="13" t="n"/>
    </row>
    <row r="15">
      <c r="B15" s="25" t="inlineStr">
        <is>
          <t>RESUMO FINANCEIRO (EVM)</t>
        </is>
      </c>
      <c r="C15" s="13" t="n"/>
      <c r="D15" s="13" t="n"/>
      <c r="E15" s="13" t="n"/>
      <c r="G15" s="3" t="inlineStr">
        <is>
          <t>PRÓXIMOS MARCOS</t>
        </is>
      </c>
      <c r="H15" s="13" t="n"/>
      <c r="I15" s="13" t="n"/>
      <c r="J15" s="13" t="n"/>
    </row>
    <row r="16">
      <c r="B16" s="20" t="inlineStr">
        <is>
          <t>Orçamento (BAC)</t>
        </is>
      </c>
      <c r="C16" s="24">
        <f>'💰 EVM'!E13</f>
        <v/>
      </c>
      <c r="D16" s="13" t="n"/>
      <c r="E16" s="13" t="n"/>
      <c r="G16" s="26">
        <f>'📅 Cronograma'!C16</f>
        <v/>
      </c>
      <c r="H16" s="13" t="n"/>
      <c r="I16" s="27">
        <f>'📅 Cronograma'!G16</f>
        <v/>
      </c>
      <c r="J16" s="28">
        <f>'📅 Cronograma'!J16</f>
        <v/>
      </c>
    </row>
    <row r="17">
      <c r="B17" s="20" t="inlineStr">
        <is>
          <t>Valor Agregado (EV)</t>
        </is>
      </c>
      <c r="C17" s="24">
        <f>'💰 EVM'!I13</f>
        <v/>
      </c>
      <c r="D17" s="13" t="n"/>
      <c r="E17" s="13" t="n"/>
      <c r="G17" s="26">
        <f>'📅 Cronograma'!C18</f>
        <v/>
      </c>
      <c r="H17" s="13" t="n"/>
      <c r="I17" s="27">
        <f>'📅 Cronograma'!G18</f>
        <v/>
      </c>
      <c r="J17" s="28">
        <f>'📅 Cronograma'!J18</f>
        <v/>
      </c>
    </row>
    <row r="18">
      <c r="B18" s="20" t="inlineStr">
        <is>
          <t>Custo Real (AC)</t>
        </is>
      </c>
      <c r="C18" s="24">
        <f>'💰 EVM'!J13</f>
        <v/>
      </c>
      <c r="D18" s="13" t="n"/>
      <c r="E18" s="13" t="n"/>
      <c r="G18" s="26">
        <f>'📅 Cronograma'!C23</f>
        <v/>
      </c>
      <c r="H18" s="13" t="n"/>
      <c r="I18" s="27">
        <f>'📅 Cronograma'!G23</f>
        <v/>
      </c>
      <c r="J18" s="28">
        <f>'📅 Cronograma'!J23</f>
        <v/>
      </c>
    </row>
    <row r="19">
      <c r="B19" s="20" t="inlineStr">
        <is>
          <t>Projeção Final (EAC)</t>
        </is>
      </c>
      <c r="C19" s="24">
        <f>'💰 EVM'!O13</f>
        <v/>
      </c>
      <c r="D19" s="13" t="n"/>
      <c r="E19" s="13" t="n"/>
      <c r="G19" s="26">
        <f>'📅 Cronograma'!C25</f>
        <v/>
      </c>
      <c r="H19" s="13" t="n"/>
      <c r="I19" s="27">
        <f>'📅 Cronograma'!G25</f>
        <v/>
      </c>
      <c r="J19" s="28">
        <f>'📅 Cronograma'!J25</f>
        <v/>
      </c>
    </row>
    <row r="20">
      <c r="B20" s="20" t="inlineStr">
        <is>
          <t>Desvio Final (VAC)</t>
        </is>
      </c>
      <c r="C20" s="24">
        <f>'💰 EVM'!Q13</f>
        <v/>
      </c>
      <c r="D20" s="13" t="n"/>
      <c r="E20" s="13" t="n"/>
    </row>
  </sheetData>
  <mergeCells count="44">
    <mergeCell ref="C16:E16"/>
    <mergeCell ref="B9:E9"/>
    <mergeCell ref="N11:O11"/>
    <mergeCell ref="L9:O9"/>
    <mergeCell ref="G6:H7"/>
    <mergeCell ref="H10:I10"/>
    <mergeCell ref="B15:E15"/>
    <mergeCell ref="B3:O3"/>
    <mergeCell ref="B6:C7"/>
    <mergeCell ref="L13:M13"/>
    <mergeCell ref="G17:H17"/>
    <mergeCell ref="G9:J9"/>
    <mergeCell ref="L12:M12"/>
    <mergeCell ref="C10:D10"/>
    <mergeCell ref="N12:O12"/>
    <mergeCell ref="L6:M7"/>
    <mergeCell ref="B2:O2"/>
    <mergeCell ref="N6:O7"/>
    <mergeCell ref="G19:H19"/>
    <mergeCell ref="C17:E17"/>
    <mergeCell ref="L5:M5"/>
    <mergeCell ref="N5:O5"/>
    <mergeCell ref="G18:H18"/>
    <mergeCell ref="C12:D12"/>
    <mergeCell ref="H11:I11"/>
    <mergeCell ref="C19:E19"/>
    <mergeCell ref="I6:J7"/>
    <mergeCell ref="C11:D11"/>
    <mergeCell ref="L10:M10"/>
    <mergeCell ref="G5:H5"/>
    <mergeCell ref="N10:O10"/>
    <mergeCell ref="D6:E7"/>
    <mergeCell ref="I5:J5"/>
    <mergeCell ref="C18:E18"/>
    <mergeCell ref="H13:I13"/>
    <mergeCell ref="N13:O13"/>
    <mergeCell ref="H12:I12"/>
    <mergeCell ref="G16:H16"/>
    <mergeCell ref="B5:C5"/>
    <mergeCell ref="D5:E5"/>
    <mergeCell ref="L11:M11"/>
    <mergeCell ref="C13:D13"/>
    <mergeCell ref="G15:J15"/>
    <mergeCell ref="C20:E20"/>
  </mergeCells>
  <conditionalFormatting sqref="G6">
    <cfRule type="cellIs" priority="1" operator="lessThan" dxfId="0">
      <formula>0.85</formula>
    </cfRule>
    <cfRule type="cellIs" priority="2" operator="between" dxfId="1">
      <formula>0.85</formula>
      <formula>0.9499</formula>
    </cfRule>
    <cfRule type="cellIs" priority="3" operator="greaterThanOrEqual" dxfId="2">
      <formula>0.95</formula>
    </cfRule>
  </conditionalFormatting>
  <conditionalFormatting sqref="I6">
    <cfRule type="cellIs" priority="4" operator="lessThan" dxfId="0">
      <formula>0.85</formula>
    </cfRule>
    <cfRule type="cellIs" priority="5" operator="between" dxfId="1">
      <formula>0.85</formula>
      <formula>0.9499</formula>
    </cfRule>
    <cfRule type="cellIs" priority="6" operator="greaterThanOrEqual" dxfId="2">
      <formula>0.95</formula>
    </cfRule>
  </conditionalFormatting>
  <conditionalFormatting sqref="C20">
    <cfRule type="cellIs" priority="7" operator="lessThan" dxfId="0">
      <formula>0</formula>
    </cfRule>
    <cfRule type="cellIs" priority="8" operator="greaterThanOrEqual" dxfId="2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5FA3"/>
    <outlinePr summaryBelow="1" summaryRight="1"/>
    <pageSetUpPr/>
  </sheetPr>
  <dimension ref="A2:E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30" customWidth="1" min="4" max="4"/>
    <col width="30" customWidth="1" min="5" max="5"/>
  </cols>
  <sheetData>
    <row r="2" ht="30" customHeight="1">
      <c r="B2" s="29" t="inlineStr">
        <is>
          <t>TERMO DE ABERTURA DO PROJETO (PROJECT CHARTER)</t>
        </is>
      </c>
    </row>
    <row r="4">
      <c r="B4" s="30" t="inlineStr">
        <is>
          <t>Nome do Projeto</t>
        </is>
      </c>
      <c r="C4" s="31" t="inlineStr">
        <is>
          <t>Implantação do Sistema ERP Corporativo</t>
        </is>
      </c>
      <c r="D4" s="13" t="n"/>
      <c r="E4" s="13" t="n"/>
    </row>
    <row r="5">
      <c r="B5" s="30" t="inlineStr">
        <is>
          <t>Código do Projeto</t>
        </is>
      </c>
      <c r="C5" s="31" t="inlineStr">
        <is>
          <t>PRJ-2026-014</t>
        </is>
      </c>
    </row>
    <row r="6">
      <c r="B6" s="30" t="inlineStr">
        <is>
          <t>Gerente do Projeto</t>
        </is>
      </c>
      <c r="C6" s="31" t="inlineStr">
        <is>
          <t>Ana Beatriz Souza</t>
        </is>
      </c>
    </row>
    <row r="7">
      <c r="B7" s="30" t="inlineStr">
        <is>
          <t>Patrocinador</t>
        </is>
      </c>
      <c r="C7" s="31" t="inlineStr">
        <is>
          <t>Carlos Mendes (Diretor de Operações)</t>
        </is>
      </c>
    </row>
    <row r="8">
      <c r="B8" s="30" t="inlineStr">
        <is>
          <t>Data de Início</t>
        </is>
      </c>
      <c r="C8" s="32" t="n">
        <v>46083</v>
      </c>
      <c r="D8" s="30" t="inlineStr">
        <is>
          <t>Cliente / Área Demandante</t>
        </is>
      </c>
      <c r="E8" s="19" t="inlineStr">
        <is>
          <t>Diretoria de Operações</t>
        </is>
      </c>
    </row>
    <row r="9">
      <c r="B9" s="30" t="inlineStr">
        <is>
          <t>Data de Término</t>
        </is>
      </c>
      <c r="C9" s="32" t="n">
        <v>46325</v>
      </c>
      <c r="D9" s="30" t="inlineStr">
        <is>
          <t>Prioridade Estratégica</t>
        </is>
      </c>
      <c r="E9" s="19" t="inlineStr">
        <is>
          <t>🔴 Alta</t>
        </is>
      </c>
    </row>
    <row r="10">
      <c r="B10" s="30" t="inlineStr">
        <is>
          <t>Orçamento Aprovado</t>
        </is>
      </c>
      <c r="C10" s="33" t="n">
        <v>850000</v>
      </c>
      <c r="D10" s="30" t="inlineStr">
        <is>
          <t>Reserva de Contingência</t>
        </is>
      </c>
      <c r="E10" s="34" t="n">
        <v>85000</v>
      </c>
    </row>
    <row r="12">
      <c r="B12" s="12" t="inlineStr">
        <is>
          <t>JUSTIFICATIVA DO PROJETO</t>
        </is>
      </c>
    </row>
    <row r="13" ht="32" customHeight="1">
      <c r="B13" s="31" t="inlineStr">
        <is>
          <t>Os sistemas legados não se integram, geram retrabalho de ~1.200 h/mês e impedem o fechamento contábil em menos de 12 dias. A implantação do ERP unifica os processos de finanças, suprimentos e vendas, com payback estimado em 18 meses.</t>
        </is>
      </c>
      <c r="C13" s="13" t="n"/>
      <c r="D13" s="13" t="n"/>
      <c r="E13" s="13" t="n"/>
    </row>
    <row r="15">
      <c r="B15" s="12" t="inlineStr">
        <is>
          <t>OBJETIVO (SMART)</t>
        </is>
      </c>
    </row>
    <row r="16" ht="32" customHeight="1">
      <c r="B16" s="31" t="inlineStr">
        <is>
          <t>Implantar o ERP nos módulos Financeiro, Suprimentos e Vendas para 320 usuários, até 30/10/2026, com orçamento de R$ 850.000, reduzindo o tempo de fechamento contábil de 12 para 4 dias.</t>
        </is>
      </c>
      <c r="C16" s="13" t="n"/>
      <c r="D16" s="13" t="n"/>
      <c r="E16" s="13" t="n"/>
    </row>
    <row r="18">
      <c r="B18" s="12" t="inlineStr">
        <is>
          <t>ESCOPO INCLUÍDO</t>
        </is>
      </c>
    </row>
    <row r="19" ht="80" customHeight="1">
      <c r="B19" s="31" t="inlineStr">
        <is>
          <t>• Módulos Financeiro, Suprimentos e Vendas
• Migração de dados dos últimos 5 anos
• Treinamento de 320 usuários
• 60 dias de operação assistida</t>
        </is>
      </c>
      <c r="C19" s="13" t="n"/>
      <c r="D19" s="13" t="n"/>
      <c r="E19" s="13" t="n"/>
    </row>
    <row r="21">
      <c r="B21" s="12" t="inlineStr">
        <is>
          <t>ESCOPO EXCLUÍDO (FORA DO ESCOPO)</t>
        </is>
      </c>
    </row>
    <row r="22" ht="64" customHeight="1">
      <c r="B22" s="31" t="inlineStr">
        <is>
          <t>• Módulos de RH e Manufatura (fase 2)
• Integração com e-commerce
• Customizações além de 400 h</t>
        </is>
      </c>
      <c r="C22" s="13" t="n"/>
      <c r="D22" s="13" t="n"/>
      <c r="E22" s="13" t="n"/>
    </row>
    <row r="24">
      <c r="B24" s="12" t="inlineStr">
        <is>
          <t>PREMISSAS</t>
        </is>
      </c>
    </row>
    <row r="25" ht="64" customHeight="1">
      <c r="B25" s="31" t="inlineStr">
        <is>
          <t>• Key users disponíveis 50% do tempo durante a parametrização
• Infraestrutura cloud contratada até abril/2026
• Dados legados entregues pela TI com qualidade mínima acordada</t>
        </is>
      </c>
      <c r="C25" s="13" t="n"/>
      <c r="D25" s="13" t="n"/>
      <c r="E25" s="13" t="n"/>
    </row>
    <row r="27">
      <c r="B27" s="12" t="inlineStr">
        <is>
          <t>RESTRIÇÕES</t>
        </is>
      </c>
    </row>
    <row r="28" ht="64" customHeight="1">
      <c r="B28" s="31" t="inlineStr">
        <is>
          <t>• Go-live impreterivelmente antes do fechamento anual (nov/2026)
• Orçamento limitado a R$ 850.000 + 10% de contingência
• Equipe interna limitada a 8 pessoas dedicadas</t>
        </is>
      </c>
      <c r="C28" s="13" t="n"/>
      <c r="D28" s="13" t="n"/>
      <c r="E28" s="13" t="n"/>
    </row>
    <row r="30">
      <c r="B30" s="12" t="inlineStr">
        <is>
          <t>RISCOS DE ALTO NÍVEL</t>
        </is>
      </c>
    </row>
    <row r="31" ht="64" customHeight="1">
      <c r="B31" s="31" t="inlineStr">
        <is>
          <t>• Qualidade dos dados legados abaixo do esperado
• Indisponibilidade de key users
• Atraso na contratação da infraestrutura cloud</t>
        </is>
      </c>
      <c r="C31" s="13" t="n"/>
      <c r="D31" s="13" t="n"/>
      <c r="E31" s="13" t="n"/>
    </row>
    <row r="33">
      <c r="B33" s="12" t="inlineStr">
        <is>
          <t>CRITÉRIOS DE SUCESSO</t>
        </is>
      </c>
    </row>
    <row r="34" ht="64" customHeight="1">
      <c r="B34" s="31" t="inlineStr">
        <is>
          <t>• Go-live até 30/10/2026 com desvio de custo ≤ 5%
• Fechamento contábil em ≤ 4 dias no 2º mês
• Satisfação dos usuários ≥ 80% na pesquisa pós-implantação</t>
        </is>
      </c>
      <c r="C34" s="13" t="n"/>
      <c r="D34" s="13" t="n"/>
      <c r="E34" s="13" t="n"/>
    </row>
    <row r="36">
      <c r="B36" s="12" t="inlineStr">
        <is>
          <t>MARCOS PRINCIPAIS</t>
        </is>
      </c>
    </row>
    <row r="37" ht="28" customHeight="1">
      <c r="A37" s="35" t="inlineStr"/>
      <c r="B37" s="35" t="inlineStr">
        <is>
          <t>Marco</t>
        </is>
      </c>
      <c r="C37" s="35" t="inlineStr">
        <is>
          <t>Data Prevista</t>
        </is>
      </c>
      <c r="D37" s="35" t="inlineStr">
        <is>
          <t>Data Real</t>
        </is>
      </c>
      <c r="E37" s="35" t="inlineStr">
        <is>
          <t>Status</t>
        </is>
      </c>
    </row>
    <row r="38">
      <c r="B38" s="19" t="inlineStr">
        <is>
          <t>Kick-off e TAP aprovado</t>
        </is>
      </c>
      <c r="C38" s="27" t="n">
        <v>46094</v>
      </c>
      <c r="D38" s="27" t="n">
        <v>46094</v>
      </c>
      <c r="E38" s="28" t="inlineStr">
        <is>
          <t>✅ Concluída</t>
        </is>
      </c>
    </row>
    <row r="39">
      <c r="B39" s="19" t="inlineStr">
        <is>
          <t>Plano do projeto aprovado</t>
        </is>
      </c>
      <c r="C39" s="27" t="n">
        <v>46122</v>
      </c>
      <c r="D39" s="27" t="n">
        <v>46126</v>
      </c>
      <c r="E39" s="28" t="inlineStr">
        <is>
          <t>✅ Concluída</t>
        </is>
      </c>
    </row>
    <row r="40">
      <c r="B40" s="19" t="inlineStr">
        <is>
          <t>Parametrização concluída</t>
        </is>
      </c>
      <c r="C40" s="27" t="n">
        <v>46227</v>
      </c>
      <c r="D40" s="27" t="n"/>
      <c r="E40" s="28" t="inlineStr">
        <is>
          <t>🟡 Em Andamento</t>
        </is>
      </c>
    </row>
    <row r="41">
      <c r="B41" s="19" t="inlineStr">
        <is>
          <t>Migração de dados homologada</t>
        </is>
      </c>
      <c r="C41" s="27" t="n">
        <v>46262</v>
      </c>
      <c r="D41" s="27" t="n"/>
      <c r="E41" s="28" t="inlineStr">
        <is>
          <t>⚪ Não Iniciada</t>
        </is>
      </c>
    </row>
    <row r="42">
      <c r="B42" s="19" t="inlineStr">
        <is>
          <t>Go-live</t>
        </is>
      </c>
      <c r="C42" s="27" t="n">
        <v>46304</v>
      </c>
      <c r="D42" s="27" t="n"/>
      <c r="E42" s="28" t="inlineStr">
        <is>
          <t>⚪ Não Iniciada</t>
        </is>
      </c>
    </row>
    <row r="43">
      <c r="B43" s="19" t="inlineStr">
        <is>
          <t>Encerramento do projeto</t>
        </is>
      </c>
      <c r="C43" s="27" t="n">
        <v>46325</v>
      </c>
      <c r="D43" s="27" t="n"/>
      <c r="E43" s="28" t="inlineStr">
        <is>
          <t>⚪ Não Iniciada</t>
        </is>
      </c>
    </row>
    <row r="45">
      <c r="B45" s="12" t="inlineStr">
        <is>
          <t>APROVAÇÕES</t>
        </is>
      </c>
    </row>
    <row r="46" ht="28" customHeight="1">
      <c r="A46" s="35" t="inlineStr"/>
      <c r="B46" s="35" t="inlineStr">
        <is>
          <t>Papel</t>
        </is>
      </c>
      <c r="C46" s="35" t="inlineStr">
        <is>
          <t>Nome</t>
        </is>
      </c>
      <c r="D46" s="35" t="inlineStr">
        <is>
          <t>Data</t>
        </is>
      </c>
      <c r="E46" s="35" t="inlineStr">
        <is>
          <t>Assinatura</t>
        </is>
      </c>
    </row>
    <row r="47">
      <c r="B47" s="30" t="inlineStr">
        <is>
          <t>Patrocinador</t>
        </is>
      </c>
      <c r="C47" s="19" t="inlineStr">
        <is>
          <t>Carlos Mendes</t>
        </is>
      </c>
      <c r="D47" s="36" t="n"/>
      <c r="E47" s="19" t="n"/>
    </row>
    <row r="48">
      <c r="B48" s="30" t="inlineStr">
        <is>
          <t>Gerente do Projeto</t>
        </is>
      </c>
      <c r="C48" s="19" t="inlineStr">
        <is>
          <t>Ana Beatriz Souza</t>
        </is>
      </c>
      <c r="D48" s="36" t="n"/>
      <c r="E48" s="19" t="n"/>
    </row>
    <row r="49">
      <c r="B49" s="30" t="inlineStr">
        <is>
          <t>Cliente / Demandante</t>
        </is>
      </c>
      <c r="C49" s="19" t="inlineStr">
        <is>
          <t>Diretoria de Operações</t>
        </is>
      </c>
      <c r="D49" s="36" t="n"/>
      <c r="E49" s="19" t="n"/>
    </row>
  </sheetData>
  <mergeCells count="23">
    <mergeCell ref="C7"/>
    <mergeCell ref="B30:E30"/>
    <mergeCell ref="B15:E15"/>
    <mergeCell ref="B33:E33"/>
    <mergeCell ref="B24:E24"/>
    <mergeCell ref="B36:E36"/>
    <mergeCell ref="B45:E45"/>
    <mergeCell ref="B16:E16"/>
    <mergeCell ref="C6"/>
    <mergeCell ref="B25:E25"/>
    <mergeCell ref="C5"/>
    <mergeCell ref="B22:E22"/>
    <mergeCell ref="B31:E31"/>
    <mergeCell ref="B18:E18"/>
    <mergeCell ref="B27:E27"/>
    <mergeCell ref="B12:E12"/>
    <mergeCell ref="B21:E21"/>
    <mergeCell ref="B2:E2"/>
    <mergeCell ref="B13:E13"/>
    <mergeCell ref="C4:E4"/>
    <mergeCell ref="B19:E19"/>
    <mergeCell ref="B34:E34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FA3"/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55" customWidth="1" min="3" max="3"/>
    <col width="22" customWidth="1" min="4" max="4"/>
    <col width="22" customWidth="1" min="5" max="5"/>
    <col width="40" customWidth="1" min="6" max="6"/>
  </cols>
  <sheetData>
    <row r="1" ht="30" customHeight="1">
      <c r="A1" s="29" t="inlineStr">
        <is>
          <t>EAP — ESTRUTURA ANALÍTICA DO PROJETO (WBS)</t>
        </is>
      </c>
    </row>
    <row r="3" ht="28" customHeight="1">
      <c r="A3" s="37" t="inlineStr">
        <is>
          <t>Código EAP</t>
        </is>
      </c>
      <c r="B3" s="37" t="inlineStr">
        <is>
          <t>Nível</t>
        </is>
      </c>
      <c r="C3" s="37" t="inlineStr">
        <is>
          <t>Entrega / Pacote de Trabalho</t>
        </is>
      </c>
      <c r="D3" s="37" t="inlineStr">
        <is>
          <t>Responsável</t>
        </is>
      </c>
      <c r="E3" s="37" t="inlineStr">
        <is>
          <t>Critério de Aceitação</t>
        </is>
      </c>
      <c r="F3" s="37" t="inlineStr">
        <is>
          <t>Descrição</t>
        </is>
      </c>
    </row>
    <row r="4">
      <c r="A4" s="38" t="inlineStr">
        <is>
          <t>1</t>
        </is>
      </c>
      <c r="B4" s="28">
        <f>LEN(A4)-LEN(SUBSTITUTE(A4,".",""))+1</f>
        <v/>
      </c>
      <c r="C4" s="30" t="inlineStr">
        <is>
          <t>Implantação do Sistema ERP Corporativo</t>
        </is>
      </c>
      <c r="D4" s="28" t="inlineStr">
        <is>
          <t>Ana B. Souza</t>
        </is>
      </c>
      <c r="E4" s="31" t="inlineStr"/>
      <c r="F4" s="31" t="inlineStr">
        <is>
          <t>Projeto completo</t>
        </is>
      </c>
    </row>
    <row r="5">
      <c r="A5" s="39" t="inlineStr">
        <is>
          <t>1.1</t>
        </is>
      </c>
      <c r="B5" s="28">
        <f>LEN(A5)-LEN(SUBSTITUTE(A5,".",""))+1</f>
        <v/>
      </c>
      <c r="C5" s="20" t="inlineStr">
        <is>
          <t xml:space="preserve">    Gerenciamento do Projeto</t>
        </is>
      </c>
      <c r="D5" s="28" t="inlineStr">
        <is>
          <t>Ana B. Souza</t>
        </is>
      </c>
      <c r="E5" s="31" t="inlineStr">
        <is>
          <t>Planos aprovados</t>
        </is>
      </c>
      <c r="F5" s="31" t="inlineStr">
        <is>
          <t>Iniciação, planos, monitoramento e encerramento</t>
        </is>
      </c>
    </row>
    <row r="6">
      <c r="A6" s="28" t="inlineStr">
        <is>
          <t>1.1.1</t>
        </is>
      </c>
      <c r="B6" s="28">
        <f>LEN(A6)-LEN(SUBSTITUTE(A6,".",""))+1</f>
        <v/>
      </c>
      <c r="C6" s="19" t="inlineStr">
        <is>
          <t xml:space="preserve">        Termo de Abertura (TAP)</t>
        </is>
      </c>
      <c r="D6" s="28" t="inlineStr">
        <is>
          <t>Ana B. Souza</t>
        </is>
      </c>
      <c r="E6" s="31" t="inlineStr">
        <is>
          <t>Assinado pelo patrocinador</t>
        </is>
      </c>
      <c r="F6" s="31" t="inlineStr"/>
    </row>
    <row r="7">
      <c r="A7" s="28" t="inlineStr">
        <is>
          <t>1.1.2</t>
        </is>
      </c>
      <c r="B7" s="28">
        <f>LEN(A7)-LEN(SUBSTITUTE(A7,".",""))+1</f>
        <v/>
      </c>
      <c r="C7" s="19" t="inlineStr">
        <is>
          <t xml:space="preserve">        Plano de Gerenciamento do Projeto</t>
        </is>
      </c>
      <c r="D7" s="28" t="inlineStr">
        <is>
          <t>Ana B. Souza</t>
        </is>
      </c>
      <c r="E7" s="31" t="inlineStr">
        <is>
          <t>Aprovado pelo comitê</t>
        </is>
      </c>
      <c r="F7" s="31" t="inlineStr"/>
    </row>
    <row r="8">
      <c r="A8" s="39" t="inlineStr">
        <is>
          <t>1.2</t>
        </is>
      </c>
      <c r="B8" s="28">
        <f>LEN(A8)-LEN(SUBSTITUTE(A8,".",""))+1</f>
        <v/>
      </c>
      <c r="C8" s="20" t="inlineStr">
        <is>
          <t xml:space="preserve">    Infraestrutura</t>
        </is>
      </c>
      <c r="D8" s="28" t="inlineStr">
        <is>
          <t>Roberto Lima</t>
        </is>
      </c>
      <c r="E8" s="31" t="inlineStr">
        <is>
          <t>Ambiente disponível e testado</t>
        </is>
      </c>
      <c r="F8" s="31" t="inlineStr">
        <is>
          <t>Cloud, ambientes e acessos</t>
        </is>
      </c>
    </row>
    <row r="9">
      <c r="A9" s="28" t="inlineStr">
        <is>
          <t>1.2.1</t>
        </is>
      </c>
      <c r="B9" s="28">
        <f>LEN(A9)-LEN(SUBSTITUTE(A9,".",""))+1</f>
        <v/>
      </c>
      <c r="C9" s="19" t="inlineStr">
        <is>
          <t xml:space="preserve">        Contratação do ambiente cloud</t>
        </is>
      </c>
      <c r="D9" s="28" t="inlineStr">
        <is>
          <t>Roberto Lima</t>
        </is>
      </c>
      <c r="E9" s="31" t="inlineStr">
        <is>
          <t>Contrato assinado</t>
        </is>
      </c>
      <c r="F9" s="31" t="inlineStr"/>
    </row>
    <row r="10">
      <c r="A10" s="28" t="inlineStr">
        <is>
          <t>1.2.2</t>
        </is>
      </c>
      <c r="B10" s="28">
        <f>LEN(A10)-LEN(SUBSTITUTE(A10,".",""))+1</f>
        <v/>
      </c>
      <c r="C10" s="19" t="inlineStr">
        <is>
          <t xml:space="preserve">        Configuração dos ambientes (DEV/QA/PRD)</t>
        </is>
      </c>
      <c r="D10" s="28" t="inlineStr">
        <is>
          <t>Roberto Lima</t>
        </is>
      </c>
      <c r="E10" s="31" t="inlineStr">
        <is>
          <t>Checklist de infra 100%</t>
        </is>
      </c>
      <c r="F10" s="31" t="inlineStr"/>
    </row>
    <row r="11">
      <c r="A11" s="39" t="inlineStr">
        <is>
          <t>1.3</t>
        </is>
      </c>
      <c r="B11" s="28">
        <f>LEN(A11)-LEN(SUBSTITUTE(A11,".",""))+1</f>
        <v/>
      </c>
      <c r="C11" s="20" t="inlineStr">
        <is>
          <t xml:space="preserve">    Parametrização do ERP</t>
        </is>
      </c>
      <c r="D11" s="28" t="inlineStr">
        <is>
          <t>Fernanda Costa</t>
        </is>
      </c>
      <c r="E11" s="31" t="inlineStr">
        <is>
          <t>Processos validados pelos key users</t>
        </is>
      </c>
      <c r="F11" s="31" t="inlineStr">
        <is>
          <t>Configuração dos módulos</t>
        </is>
      </c>
    </row>
    <row r="12">
      <c r="A12" s="28" t="inlineStr">
        <is>
          <t>1.3.1</t>
        </is>
      </c>
      <c r="B12" s="28">
        <f>LEN(A12)-LEN(SUBSTITUTE(A12,".",""))+1</f>
        <v/>
      </c>
      <c r="C12" s="19" t="inlineStr">
        <is>
          <t xml:space="preserve">        Módulo Financeiro</t>
        </is>
      </c>
      <c r="D12" s="28" t="inlineStr">
        <is>
          <t>Fernanda Costa</t>
        </is>
      </c>
      <c r="E12" s="31" t="inlineStr">
        <is>
          <t>Cenários de teste aprovados</t>
        </is>
      </c>
      <c r="F12" s="31" t="inlineStr"/>
    </row>
    <row r="13">
      <c r="A13" s="28" t="inlineStr">
        <is>
          <t>1.3.2</t>
        </is>
      </c>
      <c r="B13" s="28">
        <f>LEN(A13)-LEN(SUBSTITUTE(A13,".",""))+1</f>
        <v/>
      </c>
      <c r="C13" s="19" t="inlineStr">
        <is>
          <t xml:space="preserve">        Módulo Suprimentos</t>
        </is>
      </c>
      <c r="D13" s="28" t="inlineStr">
        <is>
          <t>Diego Martins</t>
        </is>
      </c>
      <c r="E13" s="31" t="inlineStr">
        <is>
          <t>Cenários de teste aprovados</t>
        </is>
      </c>
      <c r="F13" s="31" t="inlineStr"/>
    </row>
    <row r="14">
      <c r="A14" s="28" t="inlineStr">
        <is>
          <t>1.3.3</t>
        </is>
      </c>
      <c r="B14" s="28">
        <f>LEN(A14)-LEN(SUBSTITUTE(A14,".",""))+1</f>
        <v/>
      </c>
      <c r="C14" s="19" t="inlineStr">
        <is>
          <t xml:space="preserve">        Módulo Vendas</t>
        </is>
      </c>
      <c r="D14" s="28" t="inlineStr">
        <is>
          <t>Juliana Reis</t>
        </is>
      </c>
      <c r="E14" s="31" t="inlineStr">
        <is>
          <t>Cenários de teste aprovados</t>
        </is>
      </c>
      <c r="F14" s="31" t="inlineStr"/>
    </row>
    <row r="15">
      <c r="A15" s="39" t="inlineStr">
        <is>
          <t>1.4</t>
        </is>
      </c>
      <c r="B15" s="28">
        <f>LEN(A15)-LEN(SUBSTITUTE(A15,".",""))+1</f>
        <v/>
      </c>
      <c r="C15" s="20" t="inlineStr">
        <is>
          <t xml:space="preserve">    Migração de Dados</t>
        </is>
      </c>
      <c r="D15" s="28" t="inlineStr">
        <is>
          <t>Roberto Lima</t>
        </is>
      </c>
      <c r="E15" s="31" t="inlineStr">
        <is>
          <t>Carga homologada com ≤ 0,5% de erro</t>
        </is>
      </c>
      <c r="F15" s="31" t="inlineStr">
        <is>
          <t>Extração, limpeza, carga e validação</t>
        </is>
      </c>
    </row>
    <row r="16">
      <c r="A16" s="28" t="inlineStr">
        <is>
          <t>1.4.1</t>
        </is>
      </c>
      <c r="B16" s="28">
        <f>LEN(A16)-LEN(SUBSTITUTE(A16,".",""))+1</f>
        <v/>
      </c>
      <c r="C16" s="19" t="inlineStr">
        <is>
          <t xml:space="preserve">        Mapeamento e limpeza dos dados</t>
        </is>
      </c>
      <c r="D16" s="28" t="inlineStr">
        <is>
          <t>Roberto Lima</t>
        </is>
      </c>
      <c r="E16" s="31" t="inlineStr">
        <is>
          <t>De-para aprovado</t>
        </is>
      </c>
      <c r="F16" s="31" t="inlineStr"/>
    </row>
    <row r="17">
      <c r="A17" s="28" t="inlineStr">
        <is>
          <t>1.4.2</t>
        </is>
      </c>
      <c r="B17" s="28">
        <f>LEN(A17)-LEN(SUBSTITUTE(A17,".",""))+1</f>
        <v/>
      </c>
      <c r="C17" s="19" t="inlineStr">
        <is>
          <t xml:space="preserve">        Cargas de teste e homologação</t>
        </is>
      </c>
      <c r="D17" s="28" t="inlineStr">
        <is>
          <t>Roberto Lima</t>
        </is>
      </c>
      <c r="E17" s="31" t="inlineStr">
        <is>
          <t>3 cargas com sucesso</t>
        </is>
      </c>
      <c r="F17" s="31" t="inlineStr"/>
    </row>
    <row r="18">
      <c r="A18" s="39" t="inlineStr">
        <is>
          <t>1.5</t>
        </is>
      </c>
      <c r="B18" s="28">
        <f>LEN(A18)-LEN(SUBSTITUTE(A18,".",""))+1</f>
        <v/>
      </c>
      <c r="C18" s="20" t="inlineStr">
        <is>
          <t xml:space="preserve">    Testes Integrados</t>
        </is>
      </c>
      <c r="D18" s="28" t="inlineStr">
        <is>
          <t>Juliana Reis</t>
        </is>
      </c>
      <c r="E18" s="31" t="inlineStr">
        <is>
          <t>0 defeitos críticos abertos</t>
        </is>
      </c>
      <c r="F18" s="31" t="inlineStr">
        <is>
          <t>TIU e testes de aceitação</t>
        </is>
      </c>
    </row>
    <row r="19">
      <c r="A19" s="39" t="inlineStr">
        <is>
          <t>1.6</t>
        </is>
      </c>
      <c r="B19" s="28">
        <f>LEN(A19)-LEN(SUBSTITUTE(A19,".",""))+1</f>
        <v/>
      </c>
      <c r="C19" s="20" t="inlineStr">
        <is>
          <t xml:space="preserve">    Treinamento</t>
        </is>
      </c>
      <c r="D19" s="28" t="inlineStr">
        <is>
          <t>Fernanda Costa</t>
        </is>
      </c>
      <c r="E19" s="31" t="inlineStr">
        <is>
          <t>320 usuários treinados, nota ≥ 8</t>
        </is>
      </c>
      <c r="F19" s="31" t="inlineStr">
        <is>
          <t>Material e turmas de capacitação</t>
        </is>
      </c>
    </row>
    <row r="20">
      <c r="A20" s="39" t="inlineStr">
        <is>
          <t>1.7</t>
        </is>
      </c>
      <c r="B20" s="28">
        <f>LEN(A20)-LEN(SUBSTITUTE(A20,".",""))+1</f>
        <v/>
      </c>
      <c r="C20" s="20" t="inlineStr">
        <is>
          <t xml:space="preserve">    Go-live e Operação Assistida</t>
        </is>
      </c>
      <c r="D20" s="28" t="inlineStr">
        <is>
          <t>Ana B. Souza</t>
        </is>
      </c>
      <c r="E20" s="31" t="inlineStr">
        <is>
          <t>Operação estável por 60 dias</t>
        </is>
      </c>
      <c r="F20" s="31" t="inlineStr">
        <is>
          <t>Virada, suporte e estabilização</t>
        </is>
      </c>
    </row>
    <row r="21">
      <c r="A21" s="39" t="inlineStr">
        <is>
          <t>1.8</t>
        </is>
      </c>
      <c r="B21" s="28">
        <f>LEN(A21)-LEN(SUBSTITUTE(A21,".",""))+1</f>
        <v/>
      </c>
      <c r="C21" s="20" t="inlineStr">
        <is>
          <t xml:space="preserve">    Encerramento</t>
        </is>
      </c>
      <c r="D21" s="28" t="inlineStr">
        <is>
          <t>Ana B. Souza</t>
        </is>
      </c>
      <c r="E21" s="31" t="inlineStr">
        <is>
          <t>Termo de encerramento assinado</t>
        </is>
      </c>
      <c r="F21" s="31" t="inlineStr">
        <is>
          <t>Lições aprendidas e transição</t>
        </is>
      </c>
    </row>
  </sheetData>
  <autoFilter ref="A3:F2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AV5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42" customWidth="1" min="3" max="3"/>
    <col width="16" customWidth="1" min="4" max="4"/>
    <col width="11" customWidth="1" min="5" max="5"/>
    <col width="11" customWidth="1" min="6" max="6"/>
    <col width="11" customWidth="1" min="7" max="7"/>
    <col width="9" customWidth="1" min="8" max="8"/>
    <col width="8" customWidth="1" min="9" max="9"/>
    <col width="16" customWidth="1" min="10" max="10"/>
    <col width="9" customWidth="1" min="11" max="11"/>
    <col width="7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</cols>
  <sheetData>
    <row r="1" ht="30" customHeight="1">
      <c r="A1" s="29" t="inlineStr">
        <is>
          <t>CRONOGRAMA DO PROJETO — GANTT AUTOMÁTICO</t>
        </is>
      </c>
    </row>
    <row r="2">
      <c r="A2" s="40" t="inlineStr">
        <is>
          <t>Status, duração e barras do Gantt são 100% automáticos: preencha apenas Início, Término e % Concluído.</t>
        </is>
      </c>
    </row>
    <row r="4" ht="42" customHeight="1">
      <c r="A4" s="37" t="inlineStr">
        <is>
          <t>ID</t>
        </is>
      </c>
      <c r="B4" s="37" t="inlineStr">
        <is>
          <t>EAP</t>
        </is>
      </c>
      <c r="C4" s="37" t="inlineStr">
        <is>
          <t>Tarefa / Entrega</t>
        </is>
      </c>
      <c r="D4" s="37" t="inlineStr">
        <is>
          <t>Responsável</t>
        </is>
      </c>
      <c r="E4" s="37" t="inlineStr">
        <is>
          <t>Prioridade</t>
        </is>
      </c>
      <c r="F4" s="37" t="inlineStr">
        <is>
          <t>Início</t>
        </is>
      </c>
      <c r="G4" s="37" t="inlineStr">
        <is>
          <t>Término</t>
        </is>
      </c>
      <c r="H4" s="37" t="inlineStr">
        <is>
          <t>Duração (dias)</t>
        </is>
      </c>
      <c r="I4" s="37" t="inlineStr">
        <is>
          <t>% Concl.</t>
        </is>
      </c>
      <c r="J4" s="37" t="inlineStr">
        <is>
          <t>Status (auto)</t>
        </is>
      </c>
      <c r="K4" s="37" t="inlineStr">
        <is>
          <t>Predecessoras</t>
        </is>
      </c>
      <c r="L4" s="37" t="inlineStr">
        <is>
          <t>Marco?</t>
        </is>
      </c>
      <c r="M4" s="41" t="n">
        <v>46083</v>
      </c>
      <c r="N4" s="41" t="n">
        <v>46090</v>
      </c>
      <c r="O4" s="41" t="n">
        <v>46097</v>
      </c>
      <c r="P4" s="41" t="n">
        <v>46104</v>
      </c>
      <c r="Q4" s="41" t="n">
        <v>46111</v>
      </c>
      <c r="R4" s="41" t="n">
        <v>46118</v>
      </c>
      <c r="S4" s="41" t="n">
        <v>46125</v>
      </c>
      <c r="T4" s="41" t="n">
        <v>46132</v>
      </c>
      <c r="U4" s="41" t="n">
        <v>46139</v>
      </c>
      <c r="V4" s="41" t="n">
        <v>46146</v>
      </c>
      <c r="W4" s="41" t="n">
        <v>46153</v>
      </c>
      <c r="X4" s="41" t="n">
        <v>46160</v>
      </c>
      <c r="Y4" s="41" t="n">
        <v>46167</v>
      </c>
      <c r="Z4" s="41" t="n">
        <v>46174</v>
      </c>
      <c r="AA4" s="41" t="n">
        <v>46181</v>
      </c>
      <c r="AB4" s="41" t="n">
        <v>46188</v>
      </c>
      <c r="AC4" s="41" t="n">
        <v>46195</v>
      </c>
      <c r="AD4" s="41" t="n">
        <v>46202</v>
      </c>
      <c r="AE4" s="41" t="n">
        <v>46209</v>
      </c>
      <c r="AF4" s="41" t="n">
        <v>46216</v>
      </c>
      <c r="AG4" s="41" t="n">
        <v>46223</v>
      </c>
      <c r="AH4" s="41" t="n">
        <v>46230</v>
      </c>
      <c r="AI4" s="41" t="n">
        <v>46237</v>
      </c>
      <c r="AJ4" s="41" t="n">
        <v>46244</v>
      </c>
      <c r="AK4" s="41" t="n">
        <v>46251</v>
      </c>
      <c r="AL4" s="41" t="n">
        <v>46258</v>
      </c>
      <c r="AM4" s="41" t="n">
        <v>46265</v>
      </c>
      <c r="AN4" s="41" t="n">
        <v>46272</v>
      </c>
      <c r="AO4" s="41" t="n">
        <v>46279</v>
      </c>
      <c r="AP4" s="41" t="n">
        <v>46286</v>
      </c>
      <c r="AQ4" s="41" t="n">
        <v>46293</v>
      </c>
      <c r="AR4" s="41" t="n">
        <v>46300</v>
      </c>
      <c r="AS4" s="41" t="n">
        <v>46307</v>
      </c>
      <c r="AT4" s="41" t="n">
        <v>46314</v>
      </c>
      <c r="AU4" s="41" t="n">
        <v>46321</v>
      </c>
      <c r="AV4" s="41" t="n">
        <v>46328</v>
      </c>
    </row>
    <row r="5">
      <c r="A5" s="28" t="n">
        <v>1</v>
      </c>
      <c r="B5" s="28" t="inlineStr">
        <is>
          <t>1.1.1</t>
        </is>
      </c>
      <c r="C5" s="31" t="inlineStr">
        <is>
          <t>Elaborar e aprovar o TAP</t>
        </is>
      </c>
      <c r="D5" s="28" t="inlineStr">
        <is>
          <t>Ana B. Souza</t>
        </is>
      </c>
      <c r="E5" s="28" t="inlineStr">
        <is>
          <t>🔴 Alta</t>
        </is>
      </c>
      <c r="F5" s="27" t="n">
        <v>46083</v>
      </c>
      <c r="G5" s="27" t="n">
        <v>46094</v>
      </c>
      <c r="H5" s="28">
        <f>IF(OR(F5="",G5=""),"",G5-F5+1)</f>
        <v/>
      </c>
      <c r="I5" s="17" t="n">
        <v>1</v>
      </c>
      <c r="J5" s="28">
        <f>IF(F5="","",IF(I5&gt;=1,"✅ Concluída",IF(TODAY()&gt;G5,"🔴 Atrasada",IF(TODAY()&gt;=F5,"🟡 Em Andamento","⚪ Não Iniciada"))))</f>
        <v/>
      </c>
      <c r="K5" s="28" t="inlineStr"/>
      <c r="L5" s="28" t="inlineStr">
        <is>
          <t>Não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</row>
    <row r="6">
      <c r="A6" s="28" t="n">
        <v>2</v>
      </c>
      <c r="B6" s="28" t="inlineStr">
        <is>
          <t>1.1.1</t>
        </is>
      </c>
      <c r="C6" s="42" t="inlineStr">
        <is>
          <t>🚩 MARCO: Kick-off do projeto</t>
        </is>
      </c>
      <c r="D6" s="28" t="inlineStr">
        <is>
          <t>Ana B. Souza</t>
        </is>
      </c>
      <c r="E6" s="28" t="inlineStr">
        <is>
          <t>🔴 Alta</t>
        </is>
      </c>
      <c r="F6" s="27" t="n">
        <v>46094</v>
      </c>
      <c r="G6" s="27" t="n">
        <v>46094</v>
      </c>
      <c r="H6" s="28">
        <f>IF(OR(F6="",G6=""),"",G6-F6+1)</f>
        <v/>
      </c>
      <c r="I6" s="17" t="n">
        <v>1</v>
      </c>
      <c r="J6" s="28">
        <f>IF(F6="","",IF(I6&gt;=1,"✅ Concluída",IF(TODAY()&gt;G6,"🔴 Atrasada",IF(TODAY()&gt;=F6,"🟡 Em Andamento","⚪ Não Iniciada"))))</f>
        <v/>
      </c>
      <c r="K6" s="28" t="inlineStr">
        <is>
          <t>1</t>
        </is>
      </c>
      <c r="L6" s="28" t="inlineStr">
        <is>
          <t>Sim</t>
        </is>
      </c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</row>
    <row r="7">
      <c r="A7" s="28" t="n">
        <v>3</v>
      </c>
      <c r="B7" s="28" t="inlineStr">
        <is>
          <t>1.1.2</t>
        </is>
      </c>
      <c r="C7" s="31" t="inlineStr">
        <is>
          <t>Plano de gerenciamento do projeto</t>
        </is>
      </c>
      <c r="D7" s="28" t="inlineStr">
        <is>
          <t>Ana B. Souza</t>
        </is>
      </c>
      <c r="E7" s="28" t="inlineStr">
        <is>
          <t>🔴 Alta</t>
        </is>
      </c>
      <c r="F7" s="27" t="n">
        <v>46097</v>
      </c>
      <c r="G7" s="27" t="n">
        <v>46122</v>
      </c>
      <c r="H7" s="28">
        <f>IF(OR(F7="",G7=""),"",G7-F7+1)</f>
        <v/>
      </c>
      <c r="I7" s="17" t="n">
        <v>1</v>
      </c>
      <c r="J7" s="28">
        <f>IF(F7="","",IF(I7&gt;=1,"✅ Concluída",IF(TODAY()&gt;G7,"🔴 Atrasada",IF(TODAY()&gt;=F7,"🟡 Em Andamento","⚪ Não Iniciada"))))</f>
        <v/>
      </c>
      <c r="K7" s="28" t="inlineStr">
        <is>
          <t>2</t>
        </is>
      </c>
      <c r="L7" s="28" t="inlineStr">
        <is>
          <t>Não</t>
        </is>
      </c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</row>
    <row r="8">
      <c r="A8" s="28" t="n">
        <v>4</v>
      </c>
      <c r="B8" s="28" t="inlineStr">
        <is>
          <t>1.3</t>
        </is>
      </c>
      <c r="C8" s="31" t="inlineStr">
        <is>
          <t>Levantamento de processos (AS-IS/TO-BE)</t>
        </is>
      </c>
      <c r="D8" s="28" t="inlineStr">
        <is>
          <t>Fernanda Costa</t>
        </is>
      </c>
      <c r="E8" s="28" t="inlineStr">
        <is>
          <t>🔴 Alta</t>
        </is>
      </c>
      <c r="F8" s="27" t="n">
        <v>46104</v>
      </c>
      <c r="G8" s="27" t="n">
        <v>46136</v>
      </c>
      <c r="H8" s="28">
        <f>IF(OR(F8="",G8=""),"",G8-F8+1)</f>
        <v/>
      </c>
      <c r="I8" s="17" t="n">
        <v>1</v>
      </c>
      <c r="J8" s="28">
        <f>IF(F8="","",IF(I8&gt;=1,"✅ Concluída",IF(TODAY()&gt;G8,"🔴 Atrasada",IF(TODAY()&gt;=F8,"🟡 Em Andamento","⚪ Não Iniciada"))))</f>
        <v/>
      </c>
      <c r="K8" s="28" t="inlineStr">
        <is>
          <t>2</t>
        </is>
      </c>
      <c r="L8" s="28" t="inlineStr">
        <is>
          <t>Não</t>
        </is>
      </c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</row>
    <row r="9">
      <c r="A9" s="28" t="n">
        <v>5</v>
      </c>
      <c r="B9" s="28" t="inlineStr">
        <is>
          <t>1.2.1</t>
        </is>
      </c>
      <c r="C9" s="31" t="inlineStr">
        <is>
          <t>Contratação do ambiente cloud</t>
        </is>
      </c>
      <c r="D9" s="28" t="inlineStr">
        <is>
          <t>Roberto Lima</t>
        </is>
      </c>
      <c r="E9" s="28" t="inlineStr">
        <is>
          <t>🔴 Alta</t>
        </is>
      </c>
      <c r="F9" s="27" t="n">
        <v>46113</v>
      </c>
      <c r="G9" s="27" t="n">
        <v>46142</v>
      </c>
      <c r="H9" s="28">
        <f>IF(OR(F9="",G9=""),"",G9-F9+1)</f>
        <v/>
      </c>
      <c r="I9" s="17" t="n">
        <v>1</v>
      </c>
      <c r="J9" s="28">
        <f>IF(F9="","",IF(I9&gt;=1,"✅ Concluída",IF(TODAY()&gt;G9,"🔴 Atrasada",IF(TODAY()&gt;=F9,"🟡 Em Andamento","⚪ Não Iniciada"))))</f>
        <v/>
      </c>
      <c r="K9" s="28" t="inlineStr">
        <is>
          <t>3</t>
        </is>
      </c>
      <c r="L9" s="28" t="inlineStr">
        <is>
          <t>Não</t>
        </is>
      </c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</row>
    <row r="10">
      <c r="A10" s="28" t="n">
        <v>6</v>
      </c>
      <c r="B10" s="28" t="inlineStr">
        <is>
          <t>1.2.2</t>
        </is>
      </c>
      <c r="C10" s="31" t="inlineStr">
        <is>
          <t>Configuração dos ambientes DEV/QA/PRD</t>
        </is>
      </c>
      <c r="D10" s="28" t="inlineStr">
        <is>
          <t>Roberto Lima</t>
        </is>
      </c>
      <c r="E10" s="28" t="inlineStr">
        <is>
          <t>🟡 Média</t>
        </is>
      </c>
      <c r="F10" s="27" t="n">
        <v>46146</v>
      </c>
      <c r="G10" s="27" t="n">
        <v>46171</v>
      </c>
      <c r="H10" s="28">
        <f>IF(OR(F10="",G10=""),"",G10-F10+1)</f>
        <v/>
      </c>
      <c r="I10" s="17" t="n">
        <v>1</v>
      </c>
      <c r="J10" s="28">
        <f>IF(F10="","",IF(I10&gt;=1,"✅ Concluída",IF(TODAY()&gt;G10,"🔴 Atrasada",IF(TODAY()&gt;=F10,"🟡 Em Andamento","⚪ Não Iniciada"))))</f>
        <v/>
      </c>
      <c r="K10" s="28" t="inlineStr">
        <is>
          <t>5</t>
        </is>
      </c>
      <c r="L10" s="28" t="inlineStr">
        <is>
          <t>Não</t>
        </is>
      </c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</row>
    <row r="11">
      <c r="A11" s="28" t="n">
        <v>7</v>
      </c>
      <c r="B11" s="28" t="inlineStr">
        <is>
          <t>1.3.1</t>
        </is>
      </c>
      <c r="C11" s="31" t="inlineStr">
        <is>
          <t>Parametrização — Módulo Financeiro</t>
        </is>
      </c>
      <c r="D11" s="28" t="inlineStr">
        <is>
          <t>Fernanda Costa</t>
        </is>
      </c>
      <c r="E11" s="28" t="inlineStr">
        <is>
          <t>🔴 Alta</t>
        </is>
      </c>
      <c r="F11" s="27" t="n">
        <v>46146</v>
      </c>
      <c r="G11" s="27" t="n">
        <v>46213</v>
      </c>
      <c r="H11" s="28">
        <f>IF(OR(F11="",G11=""),"",G11-F11+1)</f>
        <v/>
      </c>
      <c r="I11" s="17" t="n">
        <v>0.65</v>
      </c>
      <c r="J11" s="28">
        <f>IF(F11="","",IF(I11&gt;=1,"✅ Concluída",IF(TODAY()&gt;G11,"🔴 Atrasada",IF(TODAY()&gt;=F11,"🟡 Em Andamento","⚪ Não Iniciada"))))</f>
        <v/>
      </c>
      <c r="K11" s="28" t="inlineStr">
        <is>
          <t>4;6</t>
        </is>
      </c>
      <c r="L11" s="28" t="inlineStr">
        <is>
          <t>Não</t>
        </is>
      </c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</row>
    <row r="12">
      <c r="A12" s="28" t="n">
        <v>8</v>
      </c>
      <c r="B12" s="28" t="inlineStr">
        <is>
          <t>1.3.2</t>
        </is>
      </c>
      <c r="C12" s="31" t="inlineStr">
        <is>
          <t>Parametrização — Módulo Suprimentos</t>
        </is>
      </c>
      <c r="D12" s="28" t="inlineStr">
        <is>
          <t>Diego Martins</t>
        </is>
      </c>
      <c r="E12" s="28" t="inlineStr">
        <is>
          <t>🔴 Alta</t>
        </is>
      </c>
      <c r="F12" s="27" t="n">
        <v>46153</v>
      </c>
      <c r="G12" s="27" t="n">
        <v>46220</v>
      </c>
      <c r="H12" s="28">
        <f>IF(OR(F12="",G12=""),"",G12-F12+1)</f>
        <v/>
      </c>
      <c r="I12" s="17" t="n">
        <v>0.55</v>
      </c>
      <c r="J12" s="28">
        <f>IF(F12="","",IF(I12&gt;=1,"✅ Concluída",IF(TODAY()&gt;G12,"🔴 Atrasada",IF(TODAY()&gt;=F12,"🟡 Em Andamento","⚪ Não Iniciada"))))</f>
        <v/>
      </c>
      <c r="K12" s="28" t="inlineStr">
        <is>
          <t>4;6</t>
        </is>
      </c>
      <c r="L12" s="28" t="inlineStr">
        <is>
          <t>Não</t>
        </is>
      </c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</row>
    <row r="13">
      <c r="A13" s="28" t="n">
        <v>9</v>
      </c>
      <c r="B13" s="28" t="inlineStr">
        <is>
          <t>1.3.3</t>
        </is>
      </c>
      <c r="C13" s="31" t="inlineStr">
        <is>
          <t>Parametrização — Módulo Vendas</t>
        </is>
      </c>
      <c r="D13" s="28" t="inlineStr">
        <is>
          <t>Juliana Reis</t>
        </is>
      </c>
      <c r="E13" s="28" t="inlineStr">
        <is>
          <t>🟡 Média</t>
        </is>
      </c>
      <c r="F13" s="27" t="n">
        <v>46160</v>
      </c>
      <c r="G13" s="27" t="n">
        <v>46227</v>
      </c>
      <c r="H13" s="28">
        <f>IF(OR(F13="",G13=""),"",G13-F13+1)</f>
        <v/>
      </c>
      <c r="I13" s="17" t="n">
        <v>0.45</v>
      </c>
      <c r="J13" s="28">
        <f>IF(F13="","",IF(I13&gt;=1,"✅ Concluída",IF(TODAY()&gt;G13,"🔴 Atrasada",IF(TODAY()&gt;=F13,"🟡 Em Andamento","⚪ Não Iniciada"))))</f>
        <v/>
      </c>
      <c r="K13" s="28" t="inlineStr">
        <is>
          <t>4;6</t>
        </is>
      </c>
      <c r="L13" s="28" t="inlineStr">
        <is>
          <t>Não</t>
        </is>
      </c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</row>
    <row r="14">
      <c r="A14" s="28" t="n">
        <v>10</v>
      </c>
      <c r="B14" s="28" t="inlineStr">
        <is>
          <t>1.4.1</t>
        </is>
      </c>
      <c r="C14" s="31" t="inlineStr">
        <is>
          <t>Mapeamento e limpeza dos dados legados</t>
        </is>
      </c>
      <c r="D14" s="28" t="inlineStr">
        <is>
          <t>Roberto Lima</t>
        </is>
      </c>
      <c r="E14" s="28" t="inlineStr">
        <is>
          <t>🔴 Alta</t>
        </is>
      </c>
      <c r="F14" s="27" t="n">
        <v>46153</v>
      </c>
      <c r="G14" s="27" t="n">
        <v>46178</v>
      </c>
      <c r="H14" s="28">
        <f>IF(OR(F14="",G14=""),"",G14-F14+1)</f>
        <v/>
      </c>
      <c r="I14" s="17" t="n">
        <v>0.8</v>
      </c>
      <c r="J14" s="28">
        <f>IF(F14="","",IF(I14&gt;=1,"✅ Concluída",IF(TODAY()&gt;G14,"🔴 Atrasada",IF(TODAY()&gt;=F14,"🟡 Em Andamento","⚪ Não Iniciada"))))</f>
        <v/>
      </c>
      <c r="K14" s="28" t="inlineStr">
        <is>
          <t>6</t>
        </is>
      </c>
      <c r="L14" s="28" t="inlineStr">
        <is>
          <t>Não</t>
        </is>
      </c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</row>
    <row r="15">
      <c r="A15" s="28" t="n">
        <v>11</v>
      </c>
      <c r="B15" s="28" t="inlineStr">
        <is>
          <t>1.6</t>
        </is>
      </c>
      <c r="C15" s="31" t="inlineStr">
        <is>
          <t>Desenvolvimento do material de treinamento</t>
        </is>
      </c>
      <c r="D15" s="28" t="inlineStr">
        <is>
          <t>Fernanda Costa</t>
        </is>
      </c>
      <c r="E15" s="28" t="inlineStr">
        <is>
          <t>🟢 Baixa</t>
        </is>
      </c>
      <c r="F15" s="27" t="n">
        <v>46174</v>
      </c>
      <c r="G15" s="27" t="n">
        <v>46234</v>
      </c>
      <c r="H15" s="28">
        <f>IF(OR(F15="",G15=""),"",G15-F15+1)</f>
        <v/>
      </c>
      <c r="I15" s="17" t="n">
        <v>0.2</v>
      </c>
      <c r="J15" s="28">
        <f>IF(F15="","",IF(I15&gt;=1,"✅ Concluída",IF(TODAY()&gt;G15,"🔴 Atrasada",IF(TODAY()&gt;=F15,"🟡 Em Andamento","⚪ Não Iniciada"))))</f>
        <v/>
      </c>
      <c r="K15" s="28" t="inlineStr">
        <is>
          <t>7</t>
        </is>
      </c>
      <c r="L15" s="28" t="inlineStr">
        <is>
          <t>Não</t>
        </is>
      </c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</row>
    <row r="16">
      <c r="A16" s="28" t="n">
        <v>12</v>
      </c>
      <c r="B16" s="28" t="inlineStr">
        <is>
          <t>1.3</t>
        </is>
      </c>
      <c r="C16" s="42" t="inlineStr">
        <is>
          <t>🚩 MARCO: Parametrização concluída</t>
        </is>
      </c>
      <c r="D16" s="28" t="inlineStr">
        <is>
          <t>Fernanda Costa</t>
        </is>
      </c>
      <c r="E16" s="28" t="inlineStr">
        <is>
          <t>🔴 Alta</t>
        </is>
      </c>
      <c r="F16" s="27" t="n">
        <v>46227</v>
      </c>
      <c r="G16" s="27" t="n">
        <v>46227</v>
      </c>
      <c r="H16" s="28">
        <f>IF(OR(F16="",G16=""),"",G16-F16+1)</f>
        <v/>
      </c>
      <c r="I16" s="17" t="n">
        <v>0</v>
      </c>
      <c r="J16" s="28">
        <f>IF(F16="","",IF(I16&gt;=1,"✅ Concluída",IF(TODAY()&gt;G16,"🔴 Atrasada",IF(TODAY()&gt;=F16,"🟡 Em Andamento","⚪ Não Iniciada"))))</f>
        <v/>
      </c>
      <c r="K16" s="28" t="inlineStr">
        <is>
          <t>7;8;9</t>
        </is>
      </c>
      <c r="L16" s="28" t="inlineStr">
        <is>
          <t>Sim</t>
        </is>
      </c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</row>
    <row r="17">
      <c r="A17" s="28" t="n">
        <v>13</v>
      </c>
      <c r="B17" s="28" t="inlineStr">
        <is>
          <t>1.4.2</t>
        </is>
      </c>
      <c r="C17" s="31" t="inlineStr">
        <is>
          <t>Cargas de teste e homologação dos dados</t>
        </is>
      </c>
      <c r="D17" s="28" t="inlineStr">
        <is>
          <t>Roberto Lima</t>
        </is>
      </c>
      <c r="E17" s="28" t="inlineStr">
        <is>
          <t>🔴 Alta</t>
        </is>
      </c>
      <c r="F17" s="27" t="n">
        <v>46188</v>
      </c>
      <c r="G17" s="27" t="n">
        <v>46255</v>
      </c>
      <c r="H17" s="28">
        <f>IF(OR(F17="",G17=""),"",G17-F17+1)</f>
        <v/>
      </c>
      <c r="I17" s="17" t="n">
        <v>0.1</v>
      </c>
      <c r="J17" s="28">
        <f>IF(F17="","",IF(I17&gt;=1,"✅ Concluída",IF(TODAY()&gt;G17,"🔴 Atrasada",IF(TODAY()&gt;=F17,"🟡 Em Andamento","⚪ Não Iniciada"))))</f>
        <v/>
      </c>
      <c r="K17" s="28" t="inlineStr">
        <is>
          <t>10</t>
        </is>
      </c>
      <c r="L17" s="28" t="inlineStr">
        <is>
          <t>Não</t>
        </is>
      </c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</row>
    <row r="18">
      <c r="A18" s="28" t="n">
        <v>14</v>
      </c>
      <c r="B18" s="28" t="inlineStr">
        <is>
          <t>1.4.2</t>
        </is>
      </c>
      <c r="C18" s="42" t="inlineStr">
        <is>
          <t>🚩 MARCO: Migração homologada</t>
        </is>
      </c>
      <c r="D18" s="28" t="inlineStr">
        <is>
          <t>Roberto Lima</t>
        </is>
      </c>
      <c r="E18" s="28" t="inlineStr">
        <is>
          <t>🔴 Alta</t>
        </is>
      </c>
      <c r="F18" s="27" t="n">
        <v>46262</v>
      </c>
      <c r="G18" s="27" t="n">
        <v>46262</v>
      </c>
      <c r="H18" s="28">
        <f>IF(OR(F18="",G18=""),"",G18-F18+1)</f>
        <v/>
      </c>
      <c r="I18" s="17" t="n">
        <v>0</v>
      </c>
      <c r="J18" s="28">
        <f>IF(F18="","",IF(I18&gt;=1,"✅ Concluída",IF(TODAY()&gt;G18,"🔴 Atrasada",IF(TODAY()&gt;=F18,"🟡 Em Andamento","⚪ Não Iniciada"))))</f>
        <v/>
      </c>
      <c r="K18" s="28" t="inlineStr">
        <is>
          <t>13</t>
        </is>
      </c>
      <c r="L18" s="28" t="inlineStr">
        <is>
          <t>Sim</t>
        </is>
      </c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</row>
    <row r="19">
      <c r="A19" s="28" t="n">
        <v>15</v>
      </c>
      <c r="B19" s="28" t="inlineStr">
        <is>
          <t>1.5</t>
        </is>
      </c>
      <c r="C19" s="31" t="inlineStr">
        <is>
          <t>Testes integrados (TIU)</t>
        </is>
      </c>
      <c r="D19" s="28" t="inlineStr">
        <is>
          <t>Juliana Reis</t>
        </is>
      </c>
      <c r="E19" s="28" t="inlineStr">
        <is>
          <t>🔴 Alta</t>
        </is>
      </c>
      <c r="F19" s="27" t="n">
        <v>46237</v>
      </c>
      <c r="G19" s="27" t="n">
        <v>46276</v>
      </c>
      <c r="H19" s="28">
        <f>IF(OR(F19="",G19=""),"",G19-F19+1)</f>
        <v/>
      </c>
      <c r="I19" s="17" t="n">
        <v>0</v>
      </c>
      <c r="J19" s="28">
        <f>IF(F19="","",IF(I19&gt;=1,"✅ Concluída",IF(TODAY()&gt;G19,"🔴 Atrasada",IF(TODAY()&gt;=F19,"🟡 Em Andamento","⚪ Não Iniciada"))))</f>
        <v/>
      </c>
      <c r="K19" s="28" t="inlineStr">
        <is>
          <t>12;14</t>
        </is>
      </c>
      <c r="L19" s="28" t="inlineStr">
        <is>
          <t>Não</t>
        </is>
      </c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</row>
    <row r="20">
      <c r="A20" s="28" t="n">
        <v>16</v>
      </c>
      <c r="B20" s="28" t="inlineStr">
        <is>
          <t>1.5</t>
        </is>
      </c>
      <c r="C20" s="31" t="inlineStr">
        <is>
          <t>Testes de aceitação do usuário (UAT)</t>
        </is>
      </c>
      <c r="D20" s="28" t="inlineStr">
        <is>
          <t>Juliana Reis</t>
        </is>
      </c>
      <c r="E20" s="28" t="inlineStr">
        <is>
          <t>🔴 Alta</t>
        </is>
      </c>
      <c r="F20" s="27" t="n">
        <v>46279</v>
      </c>
      <c r="G20" s="27" t="n">
        <v>46290</v>
      </c>
      <c r="H20" s="28">
        <f>IF(OR(F20="",G20=""),"",G20-F20+1)</f>
        <v/>
      </c>
      <c r="I20" s="17" t="n">
        <v>0</v>
      </c>
      <c r="J20" s="28">
        <f>IF(F20="","",IF(I20&gt;=1,"✅ Concluída",IF(TODAY()&gt;G20,"🔴 Atrasada",IF(TODAY()&gt;=F20,"🟡 Em Andamento","⚪ Não Iniciada"))))</f>
        <v/>
      </c>
      <c r="K20" s="28" t="inlineStr">
        <is>
          <t>15</t>
        </is>
      </c>
      <c r="L20" s="28" t="inlineStr">
        <is>
          <t>Não</t>
        </is>
      </c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</row>
    <row r="21">
      <c r="A21" s="28" t="n">
        <v>17</v>
      </c>
      <c r="B21" s="28" t="inlineStr">
        <is>
          <t>1.6</t>
        </is>
      </c>
      <c r="C21" s="31" t="inlineStr">
        <is>
          <t>Treinamento dos usuários finais (320)</t>
        </is>
      </c>
      <c r="D21" s="28" t="inlineStr">
        <is>
          <t>Fernanda Costa</t>
        </is>
      </c>
      <c r="E21" s="28" t="inlineStr">
        <is>
          <t>🟡 Média</t>
        </is>
      </c>
      <c r="F21" s="27" t="n">
        <v>46279</v>
      </c>
      <c r="G21" s="27" t="n">
        <v>46297</v>
      </c>
      <c r="H21" s="28">
        <f>IF(OR(F21="",G21=""),"",G21-F21+1)</f>
        <v/>
      </c>
      <c r="I21" s="17" t="n">
        <v>0</v>
      </c>
      <c r="J21" s="28">
        <f>IF(F21="","",IF(I21&gt;=1,"✅ Concluída",IF(TODAY()&gt;G21,"🔴 Atrasada",IF(TODAY()&gt;=F21,"🟡 Em Andamento","⚪ Não Iniciada"))))</f>
        <v/>
      </c>
      <c r="K21" s="28" t="inlineStr">
        <is>
          <t>11;15</t>
        </is>
      </c>
      <c r="L21" s="28" t="inlineStr">
        <is>
          <t>Não</t>
        </is>
      </c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</row>
    <row r="22">
      <c r="A22" s="28" t="n">
        <v>18</v>
      </c>
      <c r="B22" s="28" t="inlineStr">
        <is>
          <t>1.7</t>
        </is>
      </c>
      <c r="C22" s="31" t="inlineStr">
        <is>
          <t>Preparação da virada (cutover plan)</t>
        </is>
      </c>
      <c r="D22" s="28" t="inlineStr">
        <is>
          <t>Ana B. Souza</t>
        </is>
      </c>
      <c r="E22" s="28" t="inlineStr">
        <is>
          <t>🔴 Alta</t>
        </is>
      </c>
      <c r="F22" s="27" t="n">
        <v>46286</v>
      </c>
      <c r="G22" s="27" t="n">
        <v>46297</v>
      </c>
      <c r="H22" s="28">
        <f>IF(OR(F22="",G22=""),"",G22-F22+1)</f>
        <v/>
      </c>
      <c r="I22" s="17" t="n">
        <v>0</v>
      </c>
      <c r="J22" s="28">
        <f>IF(F22="","",IF(I22&gt;=1,"✅ Concluída",IF(TODAY()&gt;G22,"🔴 Atrasada",IF(TODAY()&gt;=F22,"🟡 Em Andamento","⚪ Não Iniciada"))))</f>
        <v/>
      </c>
      <c r="K22" s="28" t="inlineStr">
        <is>
          <t>16</t>
        </is>
      </c>
      <c r="L22" s="28" t="inlineStr">
        <is>
          <t>Não</t>
        </is>
      </c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</row>
    <row r="23">
      <c r="A23" s="28" t="n">
        <v>19</v>
      </c>
      <c r="B23" s="28" t="inlineStr">
        <is>
          <t>1.7</t>
        </is>
      </c>
      <c r="C23" s="42" t="inlineStr">
        <is>
          <t>🚩 MARCO: Go-live</t>
        </is>
      </c>
      <c r="D23" s="28" t="inlineStr">
        <is>
          <t>Ana B. Souza</t>
        </is>
      </c>
      <c r="E23" s="28" t="inlineStr">
        <is>
          <t>🔴 Alta</t>
        </is>
      </c>
      <c r="F23" s="27" t="n">
        <v>46304</v>
      </c>
      <c r="G23" s="27" t="n">
        <v>46304</v>
      </c>
      <c r="H23" s="28">
        <f>IF(OR(F23="",G23=""),"",G23-F23+1)</f>
        <v/>
      </c>
      <c r="I23" s="17" t="n">
        <v>0</v>
      </c>
      <c r="J23" s="28">
        <f>IF(F23="","",IF(I23&gt;=1,"✅ Concluída",IF(TODAY()&gt;G23,"🔴 Atrasada",IF(TODAY()&gt;=F23,"🟡 Em Andamento","⚪ Não Iniciada"))))</f>
        <v/>
      </c>
      <c r="K23" s="28" t="inlineStr">
        <is>
          <t>17;18</t>
        </is>
      </c>
      <c r="L23" s="28" t="inlineStr">
        <is>
          <t>Sim</t>
        </is>
      </c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</row>
    <row r="24">
      <c r="A24" s="28" t="n">
        <v>20</v>
      </c>
      <c r="B24" s="28" t="inlineStr">
        <is>
          <t>1.7</t>
        </is>
      </c>
      <c r="C24" s="31" t="inlineStr">
        <is>
          <t>Operação assistida (hypercare)</t>
        </is>
      </c>
      <c r="D24" s="28" t="inlineStr">
        <is>
          <t>Equipe ERP</t>
        </is>
      </c>
      <c r="E24" s="28" t="inlineStr">
        <is>
          <t>🔴 Alta</t>
        </is>
      </c>
      <c r="F24" s="27" t="n">
        <v>46307</v>
      </c>
      <c r="G24" s="27" t="n">
        <v>46325</v>
      </c>
      <c r="H24" s="28">
        <f>IF(OR(F24="",G24=""),"",G24-F24+1)</f>
        <v/>
      </c>
      <c r="I24" s="17" t="n">
        <v>0</v>
      </c>
      <c r="J24" s="28">
        <f>IF(F24="","",IF(I24&gt;=1,"✅ Concluída",IF(TODAY()&gt;G24,"🔴 Atrasada",IF(TODAY()&gt;=F24,"🟡 Em Andamento","⚪ Não Iniciada"))))</f>
        <v/>
      </c>
      <c r="K24" s="28" t="inlineStr">
        <is>
          <t>19</t>
        </is>
      </c>
      <c r="L24" s="28" t="inlineStr">
        <is>
          <t>Não</t>
        </is>
      </c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</row>
    <row r="25">
      <c r="A25" s="28" t="n">
        <v>21</v>
      </c>
      <c r="B25" s="28" t="inlineStr">
        <is>
          <t>1.8</t>
        </is>
      </c>
      <c r="C25" s="31" t="inlineStr">
        <is>
          <t>Lições aprendidas e termo de encerramento</t>
        </is>
      </c>
      <c r="D25" s="28" t="inlineStr">
        <is>
          <t>Ana B. Souza</t>
        </is>
      </c>
      <c r="E25" s="28" t="inlineStr">
        <is>
          <t>🟡 Média</t>
        </is>
      </c>
      <c r="F25" s="27" t="n">
        <v>46321</v>
      </c>
      <c r="G25" s="27" t="n">
        <v>46325</v>
      </c>
      <c r="H25" s="28">
        <f>IF(OR(F25="",G25=""),"",G25-F25+1)</f>
        <v/>
      </c>
      <c r="I25" s="17" t="n">
        <v>0</v>
      </c>
      <c r="J25" s="28">
        <f>IF(F25="","",IF(I25&gt;=1,"✅ Concluída",IF(TODAY()&gt;G25,"🔴 Atrasada",IF(TODAY()&gt;=F25,"🟡 Em Andamento","⚪ Não Iniciada"))))</f>
        <v/>
      </c>
      <c r="K25" s="28" t="inlineStr">
        <is>
          <t>20</t>
        </is>
      </c>
      <c r="L25" s="28" t="inlineStr">
        <is>
          <t>Não</t>
        </is>
      </c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28">
        <f>IF(OR(F26="",G26=""),"",G26-F26+1)</f>
        <v/>
      </c>
      <c r="I26" s="17" t="n"/>
      <c r="J26" s="28">
        <f>IF(F26="","",IF(I26&gt;=1,"✅ Concluída",IF(TODAY()&gt;G26,"🔴 Atrasada",IF(TODAY()&gt;=F26,"🟡 Em Andamento","⚪ Não Iniciada"))))</f>
        <v/>
      </c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28">
        <f>IF(OR(F27="",G27=""),"",G27-F27+1)</f>
        <v/>
      </c>
      <c r="I27" s="17" t="n"/>
      <c r="J27" s="28">
        <f>IF(F27="","",IF(I27&gt;=1,"✅ Concluída",IF(TODAY()&gt;G27,"🔴 Atrasada",IF(TODAY()&gt;=F27,"🟡 Em Andamento","⚪ Não Iniciada"))))</f>
        <v/>
      </c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28">
        <f>IF(OR(F28="",G28=""),"",G28-F28+1)</f>
        <v/>
      </c>
      <c r="I28" s="17" t="n"/>
      <c r="J28" s="28">
        <f>IF(F28="","",IF(I28&gt;=1,"✅ Concluída",IF(TODAY()&gt;G28,"🔴 Atrasada",IF(TODAY()&gt;=F28,"🟡 Em Andamento","⚪ Não Iniciada"))))</f>
        <v/>
      </c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28">
        <f>IF(OR(F29="",G29=""),"",G29-F29+1)</f>
        <v/>
      </c>
      <c r="I29" s="17" t="n"/>
      <c r="J29" s="28">
        <f>IF(F29="","",IF(I29&gt;=1,"✅ Concluída",IF(TODAY()&gt;G29,"🔴 Atrasada",IF(TODAY()&gt;=F29,"🟡 Em Andamento","⚪ Não Iniciada"))))</f>
        <v/>
      </c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28">
        <f>IF(OR(F30="",G30=""),"",G30-F30+1)</f>
        <v/>
      </c>
      <c r="I30" s="17" t="n"/>
      <c r="J30" s="28">
        <f>IF(F30="","",IF(I30&gt;=1,"✅ Concluída",IF(TODAY()&gt;G30,"🔴 Atrasada",IF(TODAY()&gt;=F30,"🟡 Em Andamento","⚪ Não Iniciada"))))</f>
        <v/>
      </c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28">
        <f>IF(OR(F31="",G31=""),"",G31-F31+1)</f>
        <v/>
      </c>
      <c r="I31" s="17" t="n"/>
      <c r="J31" s="28">
        <f>IF(F31="","",IF(I31&gt;=1,"✅ Concluída",IF(TODAY()&gt;G31,"🔴 Atrasada",IF(TODAY()&gt;=F31,"🟡 Em Andamento","⚪ Não Iniciada"))))</f>
        <v/>
      </c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28">
        <f>IF(OR(F32="",G32=""),"",G32-F32+1)</f>
        <v/>
      </c>
      <c r="I32" s="17" t="n"/>
      <c r="J32" s="28">
        <f>IF(F32="","",IF(I32&gt;=1,"✅ Concluída",IF(TODAY()&gt;G32,"🔴 Atrasada",IF(TODAY()&gt;=F32,"🟡 Em Andamento","⚪ Não Iniciada"))))</f>
        <v/>
      </c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28">
        <f>IF(OR(F33="",G33=""),"",G33-F33+1)</f>
        <v/>
      </c>
      <c r="I33" s="17" t="n"/>
      <c r="J33" s="28">
        <f>IF(F33="","",IF(I33&gt;=1,"✅ Concluída",IF(TODAY()&gt;G33,"🔴 Atrasada",IF(TODAY()&gt;=F33,"🟡 Em Andamento","⚪ Não Iniciada"))))</f>
        <v/>
      </c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28">
        <f>IF(OR(F34="",G34=""),"",G34-F34+1)</f>
        <v/>
      </c>
      <c r="I34" s="17" t="n"/>
      <c r="J34" s="28">
        <f>IF(F34="","",IF(I34&gt;=1,"✅ Concluída",IF(TODAY()&gt;G34,"🔴 Atrasada",IF(TODAY()&gt;=F34,"🟡 Em Andamento","⚪ Não Iniciada"))))</f>
        <v/>
      </c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28">
        <f>IF(OR(F35="",G35=""),"",G35-F35+1)</f>
        <v/>
      </c>
      <c r="I35" s="17" t="n"/>
      <c r="J35" s="28">
        <f>IF(F35="","",IF(I35&gt;=1,"✅ Concluída",IF(TODAY()&gt;G35,"🔴 Atrasada",IF(TODAY()&gt;=F35,"🟡 Em Andamento","⚪ Não Iniciada"))))</f>
        <v/>
      </c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28">
        <f>IF(OR(F36="",G36=""),"",G36-F36+1)</f>
        <v/>
      </c>
      <c r="I36" s="17" t="n"/>
      <c r="J36" s="28">
        <f>IF(F36="","",IF(I36&gt;=1,"✅ Concluída",IF(TODAY()&gt;G36,"🔴 Atrasada",IF(TODAY()&gt;=F36,"🟡 Em Andamento","⚪ Não Iniciada"))))</f>
        <v/>
      </c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28">
        <f>IF(OR(F37="",G37=""),"",G37-F37+1)</f>
        <v/>
      </c>
      <c r="I37" s="17" t="n"/>
      <c r="J37" s="28">
        <f>IF(F37="","",IF(I37&gt;=1,"✅ Concluída",IF(TODAY()&gt;G37,"🔴 Atrasada",IF(TODAY()&gt;=F37,"🟡 Em Andamento","⚪ Não Iniciada"))))</f>
        <v/>
      </c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28">
        <f>IF(OR(F38="",G38=""),"",G38-F38+1)</f>
        <v/>
      </c>
      <c r="I38" s="17" t="n"/>
      <c r="J38" s="28">
        <f>IF(F38="","",IF(I38&gt;=1,"✅ Concluída",IF(TODAY()&gt;G38,"🔴 Atrasada",IF(TODAY()&gt;=F38,"🟡 Em Andamento","⚪ Não Iniciada"))))</f>
        <v/>
      </c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28">
        <f>IF(OR(F39="",G39=""),"",G39-F39+1)</f>
        <v/>
      </c>
      <c r="I39" s="17" t="n"/>
      <c r="J39" s="28">
        <f>IF(F39="","",IF(I39&gt;=1,"✅ Concluída",IF(TODAY()&gt;G39,"🔴 Atrasada",IF(TODAY()&gt;=F39,"🟡 Em Andamento","⚪ Não Iniciada"))))</f>
        <v/>
      </c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28">
        <f>IF(OR(F40="",G40=""),"",G40-F40+1)</f>
        <v/>
      </c>
      <c r="I40" s="17" t="n"/>
      <c r="J40" s="28">
        <f>IF(F40="","",IF(I40&gt;=1,"✅ Concluída",IF(TODAY()&gt;G40,"🔴 Atrasada",IF(TODAY()&gt;=F40,"🟡 Em Andamento","⚪ Não Iniciada"))))</f>
        <v/>
      </c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28">
        <f>IF(OR(F41="",G41=""),"",G41-F41+1)</f>
        <v/>
      </c>
      <c r="I41" s="17" t="n"/>
      <c r="J41" s="28">
        <f>IF(F41="","",IF(I41&gt;=1,"✅ Concluída",IF(TODAY()&gt;G41,"🔴 Atrasada",IF(TODAY()&gt;=F41,"🟡 Em Andamento","⚪ Não Iniciada"))))</f>
        <v/>
      </c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28">
        <f>IF(OR(F42="",G42=""),"",G42-F42+1)</f>
        <v/>
      </c>
      <c r="I42" s="17" t="n"/>
      <c r="J42" s="28">
        <f>IF(F42="","",IF(I42&gt;=1,"✅ Concluída",IF(TODAY()&gt;G42,"🔴 Atrasada",IF(TODAY()&gt;=F42,"🟡 Em Andamento","⚪ Não Iniciada"))))</f>
        <v/>
      </c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3" t="n"/>
      <c r="AR42" s="13" t="n"/>
      <c r="AS42" s="13" t="n"/>
      <c r="AT42" s="13" t="n"/>
      <c r="AU42" s="13" t="n"/>
      <c r="AV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28">
        <f>IF(OR(F43="",G43=""),"",G43-F43+1)</f>
        <v/>
      </c>
      <c r="I43" s="17" t="n"/>
      <c r="J43" s="28">
        <f>IF(F43="","",IF(I43&gt;=1,"✅ Concluída",IF(TODAY()&gt;G43,"🔴 Atrasada",IF(TODAY()&gt;=F43,"🟡 Em Andamento","⚪ Não Iniciada"))))</f>
        <v/>
      </c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3" t="n"/>
      <c r="AU43" s="13" t="n"/>
      <c r="AV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28">
        <f>IF(OR(F44="",G44=""),"",G44-F44+1)</f>
        <v/>
      </c>
      <c r="I44" s="17" t="n"/>
      <c r="J44" s="28">
        <f>IF(F44="","",IF(I44&gt;=1,"✅ Concluída",IF(TODAY()&gt;G44,"🔴 Atrasada",IF(TODAY()&gt;=F44,"🟡 Em Andamento","⚪ Não Iniciada"))))</f>
        <v/>
      </c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3" t="n"/>
      <c r="AR44" s="13" t="n"/>
      <c r="AS44" s="13" t="n"/>
      <c r="AT44" s="13" t="n"/>
      <c r="AU44" s="13" t="n"/>
      <c r="AV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28">
        <f>IF(OR(F45="",G45=""),"",G45-F45+1)</f>
        <v/>
      </c>
      <c r="I45" s="17" t="n"/>
      <c r="J45" s="28">
        <f>IF(F45="","",IF(I45&gt;=1,"✅ Concluída",IF(TODAY()&gt;G45,"🔴 Atrasada",IF(TODAY()&gt;=F45,"🟡 Em Andamento","⚪ Não Iniciada"))))</f>
        <v/>
      </c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28">
        <f>IF(OR(F46="",G46=""),"",G46-F46+1)</f>
        <v/>
      </c>
      <c r="I46" s="17" t="n"/>
      <c r="J46" s="28">
        <f>IF(F46="","",IF(I46&gt;=1,"✅ Concluída",IF(TODAY()&gt;G46,"🔴 Atrasada",IF(TODAY()&gt;=F46,"🟡 Em Andamento","⚪ Não Iniciada"))))</f>
        <v/>
      </c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  <c r="AL46" s="13" t="n"/>
      <c r="AM46" s="13" t="n"/>
      <c r="AN46" s="13" t="n"/>
      <c r="AO46" s="13" t="n"/>
      <c r="AP46" s="13" t="n"/>
      <c r="AQ46" s="13" t="n"/>
      <c r="AR46" s="13" t="n"/>
      <c r="AS46" s="13" t="n"/>
      <c r="AT46" s="13" t="n"/>
      <c r="AU46" s="13" t="n"/>
      <c r="AV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28">
        <f>IF(OR(F47="",G47=""),"",G47-F47+1)</f>
        <v/>
      </c>
      <c r="I47" s="17" t="n"/>
      <c r="J47" s="28">
        <f>IF(F47="","",IF(I47&gt;=1,"✅ Concluída",IF(TODAY()&gt;G47,"🔴 Atrasada",IF(TODAY()&gt;=F47,"🟡 Em Andamento","⚪ Não Iniciada"))))</f>
        <v/>
      </c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28">
        <f>IF(OR(F48="",G48=""),"",G48-F48+1)</f>
        <v/>
      </c>
      <c r="I48" s="17" t="n"/>
      <c r="J48" s="28">
        <f>IF(F48="","",IF(I48&gt;=1,"✅ Concluída",IF(TODAY()&gt;G48,"🔴 Atrasada",IF(TODAY()&gt;=F48,"🟡 Em Andamento","⚪ Não Iniciada"))))</f>
        <v/>
      </c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  <c r="AM48" s="13" t="n"/>
      <c r="AN48" s="13" t="n"/>
      <c r="AO48" s="13" t="n"/>
      <c r="AP48" s="13" t="n"/>
      <c r="AQ48" s="13" t="n"/>
      <c r="AR48" s="13" t="n"/>
      <c r="AS48" s="13" t="n"/>
      <c r="AT48" s="13" t="n"/>
      <c r="AU48" s="13" t="n"/>
      <c r="AV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28">
        <f>IF(OR(F49="",G49=""),"",G49-F49+1)</f>
        <v/>
      </c>
      <c r="I49" s="17" t="n"/>
      <c r="J49" s="28">
        <f>IF(F49="","",IF(I49&gt;=1,"✅ Concluída",IF(TODAY()&gt;G49,"🔴 Atrasada",IF(TODAY()&gt;=F49,"🟡 Em Andamento","⚪ Não Iniciada"))))</f>
        <v/>
      </c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n"/>
      <c r="AT49" s="13" t="n"/>
      <c r="AU49" s="13" t="n"/>
      <c r="AV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28">
        <f>IF(OR(F50="",G50=""),"",G50-F50+1)</f>
        <v/>
      </c>
      <c r="I50" s="17" t="n"/>
      <c r="J50" s="28">
        <f>IF(F50="","",IF(I50&gt;=1,"✅ Concluída",IF(TODAY()&gt;G50,"🔴 Atrasada",IF(TODAY()&gt;=F50,"🟡 Em Andamento","⚪ Não Iniciada"))))</f>
        <v/>
      </c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  <c r="AO50" s="13" t="n"/>
      <c r="AP50" s="13" t="n"/>
      <c r="AQ50" s="13" t="n"/>
      <c r="AR50" s="13" t="n"/>
      <c r="AS50" s="13" t="n"/>
      <c r="AT50" s="13" t="n"/>
      <c r="AU50" s="13" t="n"/>
      <c r="AV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28">
        <f>IF(OR(F51="",G51=""),"",G51-F51+1)</f>
        <v/>
      </c>
      <c r="I51" s="17" t="n"/>
      <c r="J51" s="28">
        <f>IF(F51="","",IF(I51&gt;=1,"✅ Concluída",IF(TODAY()&gt;G51,"🔴 Atrasada",IF(TODAY()&gt;=F51,"🟡 Em Andamento","⚪ Não Iniciada"))))</f>
        <v/>
      </c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28">
        <f>IF(OR(F52="",G52=""),"",G52-F52+1)</f>
        <v/>
      </c>
      <c r="I52" s="17" t="n"/>
      <c r="J52" s="28">
        <f>IF(F52="","",IF(I52&gt;=1,"✅ Concluída",IF(TODAY()&gt;G52,"🔴 Atrasada",IF(TODAY()&gt;=F52,"🟡 Em Andamento","⚪ Não Iniciada"))))</f>
        <v/>
      </c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3" t="n"/>
      <c r="AU52" s="13" t="n"/>
      <c r="AV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28">
        <f>IF(OR(F53="",G53=""),"",G53-F53+1)</f>
        <v/>
      </c>
      <c r="I53" s="17" t="n"/>
      <c r="J53" s="28">
        <f>IF(F53="","",IF(I53&gt;=1,"✅ Concluída",IF(TODAY()&gt;G53,"🔴 Atrasada",IF(TODAY()&gt;=F53,"🟡 Em Andamento","⚪ Não Iniciada"))))</f>
        <v/>
      </c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28">
        <f>IF(OR(F54="",G54=""),"",G54-F54+1)</f>
        <v/>
      </c>
      <c r="I54" s="17" t="n"/>
      <c r="J54" s="28">
        <f>IF(F54="","",IF(I54&gt;=1,"✅ Concluída",IF(TODAY()&gt;G54,"🔴 Atrasada",IF(TODAY()&gt;=F54,"🟡 Em Andamento","⚪ Não Iniciada"))))</f>
        <v/>
      </c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28">
        <f>IF(OR(F55="",G55=""),"",G55-F55+1)</f>
        <v/>
      </c>
      <c r="I55" s="17" t="n"/>
      <c r="J55" s="28">
        <f>IF(F55="","",IF(I55&gt;=1,"✅ Concluída",IF(TODAY()&gt;G55,"🔴 Atrasada",IF(TODAY()&gt;=F55,"🟡 Em Andamento","⚪ Não Iniciada"))))</f>
        <v/>
      </c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</row>
  </sheetData>
  <autoFilter ref="A4:L25"/>
  <mergeCells count="2">
    <mergeCell ref="A2:L2"/>
    <mergeCell ref="A1:L1"/>
  </mergeCells>
  <conditionalFormatting sqref="M5:AV55">
    <cfRule type="expression" priority="1" dxfId="3" stopIfTrue="1">
      <formula>AND($F5&lt;&gt;"",M$4&gt;=$F5,M$4&lt;=$G5+6,M$4&lt;=$F5+($G5-$F5)*$I5)</formula>
    </cfRule>
    <cfRule type="expression" priority="2" dxfId="4" stopIfTrue="1">
      <formula>AND($F5&lt;&gt;"",M$4&gt;=$F5,M$4&lt;=$G5+6)</formula>
    </cfRule>
  </conditionalFormatting>
  <conditionalFormatting sqref="M4:AV4">
    <cfRule type="expression" priority="3" dxfId="5" stopIfTrue="1">
      <formula>AND(TODAY()&gt;=M$4,TODAY()&lt;M$4+7)</formula>
    </cfRule>
  </conditionalFormatting>
  <conditionalFormatting sqref="J5:J55">
    <cfRule type="expression" priority="4" dxfId="0">
      <formula>NOT(ISERROR(SEARCH("Atrasada",J5)))</formula>
    </cfRule>
    <cfRule type="expression" priority="5" dxfId="2">
      <formula>NOT(ISERROR(SEARCH("Concluída",J5)))</formula>
    </cfRule>
    <cfRule type="expression" priority="6" dxfId="1">
      <formula>NOT(ISERROR(SEARCH("Andamento",J5)))</formula>
    </cfRule>
  </conditionalFormatting>
  <conditionalFormatting sqref="I5:I55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2">
    <dataValidation sqref="E5:E55" showDropDown="0" showInputMessage="0" showErrorMessage="1" allowBlank="1" errorTitle="Valor inválido" error="Selecione um valor da lista suspensa." type="list">
      <formula1>=ListaPrioridade</formula1>
    </dataValidation>
    <dataValidation sqref="L5:L55" showDropDown="0" showInputMessage="0" showErrorMessage="1" allowBlank="1" errorTitle="Valor inválido" error="Selecione um valor da lista suspensa." type="list">
      <formula1>=ListaSimNao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R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11" customWidth="1" min="4" max="4"/>
    <col width="13" customWidth="1" min="5" max="5"/>
    <col width="9" customWidth="1" min="6" max="6"/>
    <col width="8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7" customWidth="1" min="13" max="13"/>
    <col width="7" customWidth="1" min="14" max="14"/>
    <col width="13" customWidth="1" min="15" max="15"/>
    <col width="13" customWidth="1" min="16" max="16"/>
    <col width="12" customWidth="1" min="17" max="17"/>
    <col width="7" customWidth="1" min="18" max="18"/>
  </cols>
  <sheetData>
    <row r="1" ht="30" customHeight="1">
      <c r="A1" s="29" t="inlineStr">
        <is>
          <t>EVM — GERENCIAMENTO DE VALOR AGREGADO (EARNED VALUE MANAGEMENT)</t>
        </is>
      </c>
    </row>
    <row r="2">
      <c r="A2" s="40" t="inlineStr">
        <is>
          <t>Preencha apenas: BAC, % Real e AC. Tudo o mais (PV, EV, SV, CV, SPI, CPI, EAC, ETC, VAC, TCPI) é calculado.</t>
        </is>
      </c>
    </row>
    <row r="4" ht="42" customHeight="1">
      <c r="A4" s="37" t="inlineStr">
        <is>
          <t>EAP</t>
        </is>
      </c>
      <c r="B4" s="37" t="inlineStr">
        <is>
          <t>Pacote de Trabalho</t>
        </is>
      </c>
      <c r="C4" s="37" t="inlineStr">
        <is>
          <t>Início</t>
        </is>
      </c>
      <c r="D4" s="37" t="inlineStr">
        <is>
          <t>Término</t>
        </is>
      </c>
      <c r="E4" s="37" t="inlineStr">
        <is>
          <t>BAC
(Orçamento)</t>
        </is>
      </c>
      <c r="F4" s="37" t="inlineStr">
        <is>
          <t>% Planej.
(auto)</t>
        </is>
      </c>
      <c r="G4" s="37" t="inlineStr">
        <is>
          <t>% Real</t>
        </is>
      </c>
      <c r="H4" s="37" t="inlineStr">
        <is>
          <t>PV (Valor
Planejado)</t>
        </is>
      </c>
      <c r="I4" s="37" t="inlineStr">
        <is>
          <t>EV (Valor
Agregado)</t>
        </is>
      </c>
      <c r="J4" s="37" t="inlineStr">
        <is>
          <t>AC (Custo
Real)</t>
        </is>
      </c>
      <c r="K4" s="37" t="inlineStr">
        <is>
          <t>SV</t>
        </is>
      </c>
      <c r="L4" s="37" t="inlineStr">
        <is>
          <t>CV</t>
        </is>
      </c>
      <c r="M4" s="37" t="inlineStr">
        <is>
          <t>SPI</t>
        </is>
      </c>
      <c r="N4" s="37" t="inlineStr">
        <is>
          <t>CPI</t>
        </is>
      </c>
      <c r="O4" s="37" t="inlineStr">
        <is>
          <t>EAC</t>
        </is>
      </c>
      <c r="P4" s="37" t="inlineStr">
        <is>
          <t>ETC</t>
        </is>
      </c>
      <c r="Q4" s="37" t="inlineStr">
        <is>
          <t>VAC</t>
        </is>
      </c>
      <c r="R4" s="37" t="inlineStr">
        <is>
          <t>TCPI</t>
        </is>
      </c>
    </row>
    <row r="5">
      <c r="A5" s="28" t="inlineStr">
        <is>
          <t>1.1</t>
        </is>
      </c>
      <c r="B5" s="19" t="inlineStr">
        <is>
          <t>Gerenciamento do Projeto</t>
        </is>
      </c>
      <c r="C5" s="27" t="n">
        <v>46083</v>
      </c>
      <c r="D5" s="27" t="n">
        <v>46325</v>
      </c>
      <c r="E5" s="43" t="n">
        <v>95000</v>
      </c>
      <c r="F5" s="17">
        <f>IF(C5="","",MAX(0,MIN(1,(TODAY()-C5+1)/(D5-C5+1))))</f>
        <v/>
      </c>
      <c r="G5" s="44" t="n">
        <v>0.46</v>
      </c>
      <c r="H5" s="43">
        <f>IF(E5="","",E5*F5)</f>
        <v/>
      </c>
      <c r="I5" s="43">
        <f>IF(E5="","",E5*G5)</f>
        <v/>
      </c>
      <c r="J5" s="45" t="n">
        <v>41000</v>
      </c>
      <c r="K5" s="43">
        <f>IF(E5="","",I5-H5)</f>
        <v/>
      </c>
      <c r="L5" s="43">
        <f>IF(E5="","",I5-J5)</f>
        <v/>
      </c>
      <c r="M5" s="46">
        <f>IFERROR(I5/H5,"—")</f>
        <v/>
      </c>
      <c r="N5" s="46">
        <f>IFERROR(I5/J5,"—")</f>
        <v/>
      </c>
      <c r="O5" s="43">
        <f>IF(E5="","",IFERROR(E5/N5,E5))</f>
        <v/>
      </c>
      <c r="P5" s="43">
        <f>IF(E5="","",O5-J5)</f>
        <v/>
      </c>
      <c r="Q5" s="43">
        <f>IF(E5="","",E5-O5)</f>
        <v/>
      </c>
      <c r="R5" s="46">
        <f>IFERROR((E5-I5)/(E5-J5),"—")</f>
        <v/>
      </c>
    </row>
    <row r="6">
      <c r="A6" s="28" t="inlineStr">
        <is>
          <t>1.2</t>
        </is>
      </c>
      <c r="B6" s="19" t="inlineStr">
        <is>
          <t>Infraestrutura</t>
        </is>
      </c>
      <c r="C6" s="27" t="n">
        <v>46113</v>
      </c>
      <c r="D6" s="27" t="n">
        <v>46171</v>
      </c>
      <c r="E6" s="43" t="n">
        <v>120000</v>
      </c>
      <c r="F6" s="17">
        <f>IF(C6="","",MAX(0,MIN(1,(TODAY()-C6+1)/(D6-C6+1))))</f>
        <v/>
      </c>
      <c r="G6" s="44" t="n">
        <v>1</v>
      </c>
      <c r="H6" s="43">
        <f>IF(E6="","",E6*F6)</f>
        <v/>
      </c>
      <c r="I6" s="43">
        <f>IF(E6="","",E6*G6)</f>
        <v/>
      </c>
      <c r="J6" s="45" t="n">
        <v>131500</v>
      </c>
      <c r="K6" s="43">
        <f>IF(E6="","",I6-H6)</f>
        <v/>
      </c>
      <c r="L6" s="43">
        <f>IF(E6="","",I6-J6)</f>
        <v/>
      </c>
      <c r="M6" s="46">
        <f>IFERROR(I6/H6,"—")</f>
        <v/>
      </c>
      <c r="N6" s="46">
        <f>IFERROR(I6/J6,"—")</f>
        <v/>
      </c>
      <c r="O6" s="43">
        <f>IF(E6="","",IFERROR(E6/N6,E6))</f>
        <v/>
      </c>
      <c r="P6" s="43">
        <f>IF(E6="","",O6-J6)</f>
        <v/>
      </c>
      <c r="Q6" s="43">
        <f>IF(E6="","",E6-O6)</f>
        <v/>
      </c>
      <c r="R6" s="46">
        <f>IFERROR((E6-I6)/(E6-J6),"—")</f>
        <v/>
      </c>
    </row>
    <row r="7">
      <c r="A7" s="28" t="inlineStr">
        <is>
          <t>1.3</t>
        </is>
      </c>
      <c r="B7" s="19" t="inlineStr">
        <is>
          <t>Parametrização do ERP</t>
        </is>
      </c>
      <c r="C7" s="27" t="n">
        <v>46146</v>
      </c>
      <c r="D7" s="27" t="n">
        <v>46227</v>
      </c>
      <c r="E7" s="43" t="n">
        <v>260000</v>
      </c>
      <c r="F7" s="17">
        <f>IF(C7="","",MAX(0,MIN(1,(TODAY()-C7+1)/(D7-C7+1))))</f>
        <v/>
      </c>
      <c r="G7" s="44" t="n">
        <v>0.55</v>
      </c>
      <c r="H7" s="43">
        <f>IF(E7="","",E7*F7)</f>
        <v/>
      </c>
      <c r="I7" s="43">
        <f>IF(E7="","",E7*G7)</f>
        <v/>
      </c>
      <c r="J7" s="45" t="n">
        <v>158000</v>
      </c>
      <c r="K7" s="43">
        <f>IF(E7="","",I7-H7)</f>
        <v/>
      </c>
      <c r="L7" s="43">
        <f>IF(E7="","",I7-J7)</f>
        <v/>
      </c>
      <c r="M7" s="46">
        <f>IFERROR(I7/H7,"—")</f>
        <v/>
      </c>
      <c r="N7" s="46">
        <f>IFERROR(I7/J7,"—")</f>
        <v/>
      </c>
      <c r="O7" s="43">
        <f>IF(E7="","",IFERROR(E7/N7,E7))</f>
        <v/>
      </c>
      <c r="P7" s="43">
        <f>IF(E7="","",O7-J7)</f>
        <v/>
      </c>
      <c r="Q7" s="43">
        <f>IF(E7="","",E7-O7)</f>
        <v/>
      </c>
      <c r="R7" s="46">
        <f>IFERROR((E7-I7)/(E7-J7),"—")</f>
        <v/>
      </c>
    </row>
    <row r="8">
      <c r="A8" s="28" t="inlineStr">
        <is>
          <t>1.4</t>
        </is>
      </c>
      <c r="B8" s="19" t="inlineStr">
        <is>
          <t>Migração de Dados</t>
        </is>
      </c>
      <c r="C8" s="27" t="n">
        <v>46153</v>
      </c>
      <c r="D8" s="27" t="n">
        <v>46262</v>
      </c>
      <c r="E8" s="43" t="n">
        <v>110000</v>
      </c>
      <c r="F8" s="17">
        <f>IF(C8="","",MAX(0,MIN(1,(TODAY()-C8+1)/(D8-C8+1))))</f>
        <v/>
      </c>
      <c r="G8" s="44" t="n">
        <v>0.35</v>
      </c>
      <c r="H8" s="43">
        <f>IF(E8="","",E8*F8)</f>
        <v/>
      </c>
      <c r="I8" s="43">
        <f>IF(E8="","",E8*G8)</f>
        <v/>
      </c>
      <c r="J8" s="45" t="n">
        <v>36500</v>
      </c>
      <c r="K8" s="43">
        <f>IF(E8="","",I8-H8)</f>
        <v/>
      </c>
      <c r="L8" s="43">
        <f>IF(E8="","",I8-J8)</f>
        <v/>
      </c>
      <c r="M8" s="46">
        <f>IFERROR(I8/H8,"—")</f>
        <v/>
      </c>
      <c r="N8" s="46">
        <f>IFERROR(I8/J8,"—")</f>
        <v/>
      </c>
      <c r="O8" s="43">
        <f>IF(E8="","",IFERROR(E8/N8,E8))</f>
        <v/>
      </c>
      <c r="P8" s="43">
        <f>IF(E8="","",O8-J8)</f>
        <v/>
      </c>
      <c r="Q8" s="43">
        <f>IF(E8="","",E8-O8)</f>
        <v/>
      </c>
      <c r="R8" s="46">
        <f>IFERROR((E8-I8)/(E8-J8),"—")</f>
        <v/>
      </c>
    </row>
    <row r="9">
      <c r="A9" s="28" t="inlineStr">
        <is>
          <t>1.5</t>
        </is>
      </c>
      <c r="B9" s="19" t="inlineStr">
        <is>
          <t>Testes Integrados</t>
        </is>
      </c>
      <c r="C9" s="27" t="n">
        <v>46237</v>
      </c>
      <c r="D9" s="27" t="n">
        <v>46290</v>
      </c>
      <c r="E9" s="43" t="n">
        <v>90000</v>
      </c>
      <c r="F9" s="17">
        <f>IF(C9="","",MAX(0,MIN(1,(TODAY()-C9+1)/(D9-C9+1))))</f>
        <v/>
      </c>
      <c r="G9" s="44" t="n">
        <v>0</v>
      </c>
      <c r="H9" s="43">
        <f>IF(E9="","",E9*F9)</f>
        <v/>
      </c>
      <c r="I9" s="43">
        <f>IF(E9="","",E9*G9)</f>
        <v/>
      </c>
      <c r="J9" s="45" t="n">
        <v>0</v>
      </c>
      <c r="K9" s="43">
        <f>IF(E9="","",I9-H9)</f>
        <v/>
      </c>
      <c r="L9" s="43">
        <f>IF(E9="","",I9-J9)</f>
        <v/>
      </c>
      <c r="M9" s="46">
        <f>IFERROR(I9/H9,"—")</f>
        <v/>
      </c>
      <c r="N9" s="46">
        <f>IFERROR(I9/J9,"—")</f>
        <v/>
      </c>
      <c r="O9" s="43">
        <f>IF(E9="","",IFERROR(E9/N9,E9))</f>
        <v/>
      </c>
      <c r="P9" s="43">
        <f>IF(E9="","",O9-J9)</f>
        <v/>
      </c>
      <c r="Q9" s="43">
        <f>IF(E9="","",E9-O9)</f>
        <v/>
      </c>
      <c r="R9" s="46">
        <f>IFERROR((E9-I9)/(E9-J9),"—")</f>
        <v/>
      </c>
    </row>
    <row r="10">
      <c r="A10" s="28" t="inlineStr">
        <is>
          <t>1.6</t>
        </is>
      </c>
      <c r="B10" s="19" t="inlineStr">
        <is>
          <t>Treinamento</t>
        </is>
      </c>
      <c r="C10" s="27" t="n">
        <v>46174</v>
      </c>
      <c r="D10" s="27" t="n">
        <v>46297</v>
      </c>
      <c r="E10" s="43" t="n">
        <v>85000</v>
      </c>
      <c r="F10" s="17">
        <f>IF(C10="","",MAX(0,MIN(1,(TODAY()-C10+1)/(D10-C10+1))))</f>
        <v/>
      </c>
      <c r="G10" s="44" t="n">
        <v>0.1</v>
      </c>
      <c r="H10" s="43">
        <f>IF(E10="","",E10*F10)</f>
        <v/>
      </c>
      <c r="I10" s="43">
        <f>IF(E10="","",E10*G10)</f>
        <v/>
      </c>
      <c r="J10" s="45" t="n">
        <v>7200</v>
      </c>
      <c r="K10" s="43">
        <f>IF(E10="","",I10-H10)</f>
        <v/>
      </c>
      <c r="L10" s="43">
        <f>IF(E10="","",I10-J10)</f>
        <v/>
      </c>
      <c r="M10" s="46">
        <f>IFERROR(I10/H10,"—")</f>
        <v/>
      </c>
      <c r="N10" s="46">
        <f>IFERROR(I10/J10,"—")</f>
        <v/>
      </c>
      <c r="O10" s="43">
        <f>IF(E10="","",IFERROR(E10/N10,E10))</f>
        <v/>
      </c>
      <c r="P10" s="43">
        <f>IF(E10="","",O10-J10)</f>
        <v/>
      </c>
      <c r="Q10" s="43">
        <f>IF(E10="","",E10-O10)</f>
        <v/>
      </c>
      <c r="R10" s="46">
        <f>IFERROR((E10-I10)/(E10-J10),"—")</f>
        <v/>
      </c>
    </row>
    <row r="11">
      <c r="A11" s="28" t="inlineStr">
        <is>
          <t>1.7</t>
        </is>
      </c>
      <c r="B11" s="19" t="inlineStr">
        <is>
          <t>Go-live e Operação Assistida</t>
        </is>
      </c>
      <c r="C11" s="27" t="n">
        <v>46286</v>
      </c>
      <c r="D11" s="27" t="n">
        <v>46325</v>
      </c>
      <c r="E11" s="43" t="n">
        <v>75000</v>
      </c>
      <c r="F11" s="17">
        <f>IF(C11="","",MAX(0,MIN(1,(TODAY()-C11+1)/(D11-C11+1))))</f>
        <v/>
      </c>
      <c r="G11" s="44" t="n">
        <v>0</v>
      </c>
      <c r="H11" s="43">
        <f>IF(E11="","",E11*F11)</f>
        <v/>
      </c>
      <c r="I11" s="43">
        <f>IF(E11="","",E11*G11)</f>
        <v/>
      </c>
      <c r="J11" s="45" t="n">
        <v>0</v>
      </c>
      <c r="K11" s="43">
        <f>IF(E11="","",I11-H11)</f>
        <v/>
      </c>
      <c r="L11" s="43">
        <f>IF(E11="","",I11-J11)</f>
        <v/>
      </c>
      <c r="M11" s="46">
        <f>IFERROR(I11/H11,"—")</f>
        <v/>
      </c>
      <c r="N11" s="46">
        <f>IFERROR(I11/J11,"—")</f>
        <v/>
      </c>
      <c r="O11" s="43">
        <f>IF(E11="","",IFERROR(E11/N11,E11))</f>
        <v/>
      </c>
      <c r="P11" s="43">
        <f>IF(E11="","",O11-J11)</f>
        <v/>
      </c>
      <c r="Q11" s="43">
        <f>IF(E11="","",E11-O11)</f>
        <v/>
      </c>
      <c r="R11" s="46">
        <f>IFERROR((E11-I11)/(E11-J11),"—")</f>
        <v/>
      </c>
    </row>
    <row r="12">
      <c r="A12" s="28" t="inlineStr">
        <is>
          <t>1.8</t>
        </is>
      </c>
      <c r="B12" s="19" t="inlineStr">
        <is>
          <t>Encerramento</t>
        </is>
      </c>
      <c r="C12" s="27" t="n">
        <v>46321</v>
      </c>
      <c r="D12" s="27" t="n">
        <v>46325</v>
      </c>
      <c r="E12" s="43" t="n">
        <v>15000</v>
      </c>
      <c r="F12" s="17">
        <f>IF(C12="","",MAX(0,MIN(1,(TODAY()-C12+1)/(D12-C12+1))))</f>
        <v/>
      </c>
      <c r="G12" s="44" t="n">
        <v>0</v>
      </c>
      <c r="H12" s="43">
        <f>IF(E12="","",E12*F12)</f>
        <v/>
      </c>
      <c r="I12" s="43">
        <f>IF(E12="","",E12*G12)</f>
        <v/>
      </c>
      <c r="J12" s="45" t="n">
        <v>0</v>
      </c>
      <c r="K12" s="43">
        <f>IF(E12="","",I12-H12)</f>
        <v/>
      </c>
      <c r="L12" s="43">
        <f>IF(E12="","",I12-J12)</f>
        <v/>
      </c>
      <c r="M12" s="46">
        <f>IFERROR(I12/H12,"—")</f>
        <v/>
      </c>
      <c r="N12" s="46">
        <f>IFERROR(I12/J12,"—")</f>
        <v/>
      </c>
      <c r="O12" s="43">
        <f>IF(E12="","",IFERROR(E12/N12,E12))</f>
        <v/>
      </c>
      <c r="P12" s="43">
        <f>IF(E12="","",O12-J12)</f>
        <v/>
      </c>
      <c r="Q12" s="43">
        <f>IF(E12="","",E12-O12)</f>
        <v/>
      </c>
      <c r="R12" s="46">
        <f>IFERROR((E12-I12)/(E12-J12),"—")</f>
        <v/>
      </c>
    </row>
    <row r="13">
      <c r="A13" s="47" t="inlineStr"/>
      <c r="B13" s="48" t="inlineStr">
        <is>
          <t>TOTAL DO PROJETO</t>
        </is>
      </c>
      <c r="C13" s="47" t="inlineStr"/>
      <c r="D13" s="47" t="inlineStr"/>
      <c r="E13" s="49">
        <f>SUM(E5:E12)</f>
        <v/>
      </c>
      <c r="F13" s="50">
        <f>H13/E13</f>
        <v/>
      </c>
      <c r="G13" s="50">
        <f>I13/E13</f>
        <v/>
      </c>
      <c r="H13" s="49">
        <f>SUM(H5:H12)</f>
        <v/>
      </c>
      <c r="I13" s="49">
        <f>SUM(I5:I12)</f>
        <v/>
      </c>
      <c r="J13" s="49">
        <f>SUM(J5:J12)</f>
        <v/>
      </c>
      <c r="K13" s="49">
        <f>SUM(K5:K12)</f>
        <v/>
      </c>
      <c r="L13" s="49">
        <f>SUM(L5:L12)</f>
        <v/>
      </c>
      <c r="M13" s="51">
        <f>IFERROR(I13/H13,"—")</f>
        <v/>
      </c>
      <c r="N13" s="51">
        <f>IFERROR(I13/J13,"—")</f>
        <v/>
      </c>
      <c r="O13" s="49">
        <f>SUM(O5:O12)</f>
        <v/>
      </c>
      <c r="P13" s="49">
        <f>SUM(P5:P12)</f>
        <v/>
      </c>
      <c r="Q13" s="49">
        <f>SUM(Q5:Q12)</f>
        <v/>
      </c>
      <c r="R13" s="51">
        <f>IFERROR((E13-I13)/(E13-J13),"—")</f>
        <v/>
      </c>
    </row>
    <row r="15">
      <c r="B15" s="40" t="inlineStr">
        <is>
          <t>PV = quanto deveria ter sido feito | EV = quanto foi feito (em R$) | AC = quanto foi gasto | SPI &lt; 1 atrasado | CPI &lt; 1 acima do custo | EAC = custo total projetado | VAC = desvio final previsto</t>
        </is>
      </c>
    </row>
    <row r="17">
      <c r="B17" s="48" t="inlineStr">
        <is>
          <t>CURVA S — VALORES ACUMULADOS (R$ mil)</t>
        </is>
      </c>
      <c r="C17" s="52" t="n"/>
      <c r="D17" s="52" t="n"/>
      <c r="E17" s="52" t="n"/>
      <c r="F17" s="52" t="n"/>
      <c r="G17" s="52" t="n"/>
      <c r="H17" s="52" t="n"/>
      <c r="I17" s="52" t="n"/>
      <c r="J17" s="52" t="n"/>
      <c r="K17" s="53" t="n"/>
    </row>
    <row r="18" ht="28" customHeight="1">
      <c r="A18" s="35" t="inlineStr"/>
      <c r="B18" s="35" t="inlineStr">
        <is>
          <t>Mês</t>
        </is>
      </c>
      <c r="C18" s="35" t="inlineStr">
        <is>
          <t>Mar</t>
        </is>
      </c>
      <c r="D18" s="35" t="inlineStr">
        <is>
          <t>Abr</t>
        </is>
      </c>
      <c r="E18" s="35" t="inlineStr">
        <is>
          <t>Mai</t>
        </is>
      </c>
      <c r="F18" s="35" t="inlineStr">
        <is>
          <t>Jun</t>
        </is>
      </c>
      <c r="G18" s="35" t="inlineStr">
        <is>
          <t>Jul</t>
        </is>
      </c>
      <c r="H18" s="35" t="inlineStr">
        <is>
          <t>Ago</t>
        </is>
      </c>
      <c r="I18" s="35" t="inlineStr">
        <is>
          <t>Set</t>
        </is>
      </c>
      <c r="J18" s="35" t="inlineStr">
        <is>
          <t>Out</t>
        </is>
      </c>
    </row>
    <row r="19">
      <c r="B19" s="30" t="inlineStr">
        <is>
          <t>PV — Valor Planejado</t>
        </is>
      </c>
      <c r="C19" s="54" t="n">
        <v>35</v>
      </c>
      <c r="D19" s="54" t="n">
        <v>120</v>
      </c>
      <c r="E19" s="54" t="n">
        <v>245</v>
      </c>
      <c r="F19" s="54" t="n">
        <v>390</v>
      </c>
      <c r="G19" s="54" t="n">
        <v>540</v>
      </c>
      <c r="H19" s="54" t="n">
        <v>660</v>
      </c>
      <c r="I19" s="54" t="n">
        <v>780</v>
      </c>
      <c r="J19" s="54" t="n">
        <v>850</v>
      </c>
    </row>
    <row r="20">
      <c r="B20" s="30" t="inlineStr">
        <is>
          <t>EV — Valor Agregado</t>
        </is>
      </c>
      <c r="C20" s="54" t="n">
        <v>33</v>
      </c>
      <c r="D20" s="54" t="n">
        <v>112</v>
      </c>
      <c r="E20" s="54" t="n">
        <v>228</v>
      </c>
      <c r="F20" s="54" t="n">
        <v>352</v>
      </c>
      <c r="G20" s="54" t="n"/>
      <c r="H20" s="54" t="n"/>
      <c r="I20" s="54" t="n"/>
      <c r="J20" s="54" t="n"/>
    </row>
    <row r="21">
      <c r="B21" s="30" t="inlineStr">
        <is>
          <t>AC — Custo Real</t>
        </is>
      </c>
      <c r="C21" s="54" t="n">
        <v>36</v>
      </c>
      <c r="D21" s="54" t="n">
        <v>121</v>
      </c>
      <c r="E21" s="54" t="n">
        <v>248</v>
      </c>
      <c r="F21" s="54" t="n">
        <v>374</v>
      </c>
      <c r="G21" s="54" t="n"/>
      <c r="H21" s="54" t="n"/>
      <c r="I21" s="54" t="n"/>
      <c r="J21" s="54" t="n"/>
    </row>
  </sheetData>
  <mergeCells count="4">
    <mergeCell ref="A2:R2"/>
    <mergeCell ref="B15:R15"/>
    <mergeCell ref="A1:R1"/>
    <mergeCell ref="B17:K17"/>
  </mergeCells>
  <conditionalFormatting sqref="M5:N12">
    <cfRule type="cellIs" priority="1" operator="lessThan" dxfId="0">
      <formula>0.85</formula>
    </cfRule>
    <cfRule type="cellIs" priority="2" operator="between" dxfId="1">
      <formula>0.85</formula>
      <formula>0.9499</formula>
    </cfRule>
    <cfRule type="cellIs" priority="3" operator="greaterThanOrEqual" dxfId="2">
      <formula>0.95</formula>
    </cfRule>
  </conditionalFormatting>
  <conditionalFormatting sqref="K5:L12">
    <cfRule type="cellIs" priority="4" operator="lessThan" dxfId="0">
      <formula>0</formula>
    </cfRule>
  </conditionalFormatting>
  <conditionalFormatting sqref="Q5:Q12">
    <cfRule type="cellIs" priority="5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W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52" customWidth="1" min="4" max="4"/>
    <col width="6" customWidth="1" min="5" max="5"/>
    <col width="6" customWidth="1" min="6" max="6"/>
    <col width="7" customWidth="1" min="7" max="7"/>
    <col width="12" customWidth="1" min="8" max="8"/>
    <col width="12" customWidth="1" min="9" max="9"/>
    <col width="42" customWidth="1" min="10" max="10"/>
    <col width="15" customWidth="1" min="11" max="11"/>
    <col width="14" customWidth="1" min="12" max="12"/>
    <col width="12" customWidth="1" min="13" max="13"/>
    <col width="11" customWidth="1" min="14" max="14"/>
    <col width="12" customWidth="1" min="15" max="15"/>
    <col width="14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 ht="30" customHeight="1">
      <c r="A1" s="29" t="inlineStr">
        <is>
          <t>REGISTRO DE RISCOS — ANÁLISE QUALITATIVA (PROBABILIDADE × IMPACTO)</t>
        </is>
      </c>
    </row>
    <row r="3" ht="40" customHeight="1">
      <c r="A3" s="37" t="inlineStr">
        <is>
          <t>ID</t>
        </is>
      </c>
      <c r="B3" s="37" t="inlineStr">
        <is>
          <t>Data</t>
        </is>
      </c>
      <c r="C3" s="37" t="inlineStr">
        <is>
          <t>Categoria</t>
        </is>
      </c>
      <c r="D3" s="37" t="inlineStr">
        <is>
          <t>Descrição do Risco (causa → evento → efeito)</t>
        </is>
      </c>
      <c r="E3" s="37" t="inlineStr">
        <is>
          <t>Prob.
(1-5)</t>
        </is>
      </c>
      <c r="F3" s="37" t="inlineStr">
        <is>
          <t>Imp.
(1-5)</t>
        </is>
      </c>
      <c r="G3" s="37" t="inlineStr">
        <is>
          <t>Score
(auto)</t>
        </is>
      </c>
      <c r="H3" s="37" t="inlineStr">
        <is>
          <t>Nível
(auto)</t>
        </is>
      </c>
      <c r="I3" s="37" t="inlineStr">
        <is>
          <t>Estratégia</t>
        </is>
      </c>
      <c r="J3" s="37" t="inlineStr">
        <is>
          <t>Plano de Resposta</t>
        </is>
      </c>
      <c r="K3" s="37" t="inlineStr">
        <is>
          <t>Responsável</t>
        </is>
      </c>
      <c r="L3" s="37" t="inlineStr">
        <is>
          <t>Status</t>
        </is>
      </c>
      <c r="M3" s="37" t="inlineStr">
        <is>
          <t>Custo da
Resposta</t>
        </is>
      </c>
      <c r="N3" s="37" t="inlineStr">
        <is>
          <t>Próxima
Revisão</t>
        </is>
      </c>
      <c r="O3" s="37" t="inlineStr">
        <is>
          <t>Exposição
(R$, auto)</t>
        </is>
      </c>
      <c r="Q3" s="12" t="inlineStr">
        <is>
          <t>MATRIZ DE RISCOS 5×5 (contagem automática)</t>
        </is>
      </c>
      <c r="R3" s="52" t="n"/>
      <c r="S3" s="52" t="n"/>
      <c r="T3" s="52" t="n"/>
      <c r="U3" s="52" t="n"/>
      <c r="V3" s="52" t="n"/>
      <c r="W3" s="53" t="n"/>
    </row>
    <row r="4">
      <c r="A4" s="16" t="inlineStr">
        <is>
          <t>R-01</t>
        </is>
      </c>
      <c r="B4" s="27" t="n">
        <v>46101</v>
      </c>
      <c r="C4" s="28" t="inlineStr">
        <is>
          <t>Técnico</t>
        </is>
      </c>
      <c r="D4" s="31" t="inlineStr">
        <is>
          <t>Qualidade dos dados legados abaixo do esperado pode atrasar a migração e o go-live</t>
        </is>
      </c>
      <c r="E4" s="28" t="n">
        <v>4</v>
      </c>
      <c r="F4" s="28" t="n">
        <v>5</v>
      </c>
      <c r="G4" s="16">
        <f>IF(OR(E4="",F4=""),"",E4*F4)</f>
        <v/>
      </c>
      <c r="H4" s="28">
        <f>IF(G4="","",IF(G4&gt;=20,"🔴 Crítico",IF(G4&gt;=12,"🟠 Alto",IF(G4&gt;=6,"🟡 Moderado","🟢 Baixo"))))</f>
        <v/>
      </c>
      <c r="I4" s="28" t="inlineStr">
        <is>
          <t>Mitigar</t>
        </is>
      </c>
      <c r="J4" s="31" t="inlineStr">
        <is>
          <t>Auditoria de dados antecipada; 3 cargas de teste; equipe extra de limpeza contratada</t>
        </is>
      </c>
      <c r="K4" s="28" t="inlineStr">
        <is>
          <t>Roberto Lima</t>
        </is>
      </c>
      <c r="L4" s="28" t="inlineStr">
        <is>
          <t>Em Tratamento</t>
        </is>
      </c>
      <c r="M4" s="43" t="n">
        <v>25000</v>
      </c>
      <c r="N4" s="27" t="n">
        <v>46199</v>
      </c>
      <c r="O4" s="43">
        <f>IF(OR(E4="",F4=""),"",E4/5*F4/5*'📋 TAP'!$C$10)</f>
        <v/>
      </c>
      <c r="Q4" s="55" t="inlineStr">
        <is>
          <t>PROBABILIDADE ↓ / IMPACTO →</t>
        </is>
      </c>
      <c r="R4" s="39" t="n">
        <v>1</v>
      </c>
      <c r="S4" s="39" t="n">
        <v>2</v>
      </c>
      <c r="T4" s="39" t="n">
        <v>3</v>
      </c>
      <c r="U4" s="39" t="n">
        <v>4</v>
      </c>
      <c r="V4" s="39" t="n">
        <v>5</v>
      </c>
    </row>
    <row r="5">
      <c r="A5" s="16" t="inlineStr">
        <is>
          <t>R-02</t>
        </is>
      </c>
      <c r="B5" s="27" t="n">
        <v>46101</v>
      </c>
      <c r="C5" s="28" t="inlineStr">
        <is>
          <t>Organizacional</t>
        </is>
      </c>
      <c r="D5" s="31" t="inlineStr">
        <is>
          <t>Indisponibilidade dos key users nas fases de parametrização e testes</t>
        </is>
      </c>
      <c r="E5" s="28" t="n">
        <v>4</v>
      </c>
      <c r="F5" s="28" t="n">
        <v>4</v>
      </c>
      <c r="G5" s="16">
        <f>IF(OR(E5="",F5=""),"",E5*F5)</f>
        <v/>
      </c>
      <c r="H5" s="28">
        <f>IF(G5="","",IF(G5&gt;=20,"🔴 Crítico",IF(G5&gt;=12,"🟠 Alto",IF(G5&gt;=6,"🟡 Moderado","🟢 Baixo"))))</f>
        <v/>
      </c>
      <c r="I5" s="28" t="inlineStr">
        <is>
          <t>Mitigar</t>
        </is>
      </c>
      <c r="J5" s="31" t="inlineStr">
        <is>
          <t>Acordo formal de 50% de alocação assinado pelos diretores; agenda bloqueada com 4 semanas de antecedência</t>
        </is>
      </c>
      <c r="K5" s="28" t="inlineStr">
        <is>
          <t>Ana B. Souza</t>
        </is>
      </c>
      <c r="L5" s="28" t="inlineStr">
        <is>
          <t>Em Tratamento</t>
        </is>
      </c>
      <c r="M5" s="43" t="n">
        <v>0</v>
      </c>
      <c r="N5" s="27" t="n">
        <v>46192</v>
      </c>
      <c r="O5" s="43">
        <f>IF(OR(E5="",F5=""),"",E5/5*F5/5*'📋 TAP'!$C$10)</f>
        <v/>
      </c>
      <c r="Q5" s="39" t="n">
        <v>5</v>
      </c>
      <c r="R5" s="56">
        <f>COUNTIFS($E$4:$E$33,5,$F$4:$F$33,1,$L$4:$L$33,"&lt;&gt;Encerrado")</f>
        <v/>
      </c>
      <c r="S5" s="57">
        <f>COUNTIFS($E$4:$E$33,5,$F$4:$F$33,2,$L$4:$L$33,"&lt;&gt;Encerrado")</f>
        <v/>
      </c>
      <c r="T5" s="58">
        <f>COUNTIFS($E$4:$E$33,5,$F$4:$F$33,3,$L$4:$L$33,"&lt;&gt;Encerrado")</f>
        <v/>
      </c>
      <c r="U5" s="58">
        <f>COUNTIFS($E$4:$E$33,5,$F$4:$F$33,4,$L$4:$L$33,"&lt;&gt;Encerrado")</f>
        <v/>
      </c>
      <c r="V5" s="58">
        <f>COUNTIFS($E$4:$E$33,5,$F$4:$F$33,5,$L$4:$L$33,"&lt;&gt;Encerrado")</f>
        <v/>
      </c>
    </row>
    <row r="6">
      <c r="A6" s="16" t="inlineStr">
        <is>
          <t>R-03</t>
        </is>
      </c>
      <c r="B6" s="27" t="n">
        <v>46106</v>
      </c>
      <c r="C6" s="28" t="inlineStr">
        <is>
          <t>Comercial</t>
        </is>
      </c>
      <c r="D6" s="31" t="inlineStr">
        <is>
          <t>Atraso do fornecedor na entrega das customizações contratadas</t>
        </is>
      </c>
      <c r="E6" s="28" t="n">
        <v>3</v>
      </c>
      <c r="F6" s="28" t="n">
        <v>4</v>
      </c>
      <c r="G6" s="16">
        <f>IF(OR(E6="",F6=""),"",E6*F6)</f>
        <v/>
      </c>
      <c r="H6" s="28">
        <f>IF(G6="","",IF(G6&gt;=20,"🔴 Crítico",IF(G6&gt;=12,"🟠 Alto",IF(G6&gt;=6,"🟡 Moderado","🟢 Baixo"))))</f>
        <v/>
      </c>
      <c r="I6" s="28" t="inlineStr">
        <is>
          <t>Transferir</t>
        </is>
      </c>
      <c r="J6" s="31" t="inlineStr">
        <is>
          <t>Multa contratual por atraso; marcos de pagamento vinculados a entregas aceitas</t>
        </is>
      </c>
      <c r="K6" s="28" t="inlineStr">
        <is>
          <t>Ana B. Souza</t>
        </is>
      </c>
      <c r="L6" s="28" t="inlineStr">
        <is>
          <t>Aberto</t>
        </is>
      </c>
      <c r="M6" s="43" t="n">
        <v>0</v>
      </c>
      <c r="N6" s="27" t="n">
        <v>46206</v>
      </c>
      <c r="O6" s="43">
        <f>IF(OR(E6="",F6=""),"",E6/5*F6/5*'📋 TAP'!$C$10)</f>
        <v/>
      </c>
      <c r="Q6" s="39" t="n">
        <v>4</v>
      </c>
      <c r="R6" s="59">
        <f>COUNTIFS($E$4:$E$33,4,$F$4:$F$33,1,$L$4:$L$33,"&lt;&gt;Encerrado")</f>
        <v/>
      </c>
      <c r="S6" s="56">
        <f>COUNTIFS($E$4:$E$33,4,$F$4:$F$33,2,$L$4:$L$33,"&lt;&gt;Encerrado")</f>
        <v/>
      </c>
      <c r="T6" s="57">
        <f>COUNTIFS($E$4:$E$33,4,$F$4:$F$33,3,$L$4:$L$33,"&lt;&gt;Encerrado")</f>
        <v/>
      </c>
      <c r="U6" s="58">
        <f>COUNTIFS($E$4:$E$33,4,$F$4:$F$33,4,$L$4:$L$33,"&lt;&gt;Encerrado")</f>
        <v/>
      </c>
      <c r="V6" s="58">
        <f>COUNTIFS($E$4:$E$33,4,$F$4:$F$33,5,$L$4:$L$33,"&lt;&gt;Encerrado")</f>
        <v/>
      </c>
    </row>
    <row r="7">
      <c r="A7" s="16" t="inlineStr">
        <is>
          <t>R-04</t>
        </is>
      </c>
      <c r="B7" s="27" t="n">
        <v>46114</v>
      </c>
      <c r="C7" s="28" t="inlineStr">
        <is>
          <t>Técnico</t>
        </is>
      </c>
      <c r="D7" s="31" t="inlineStr">
        <is>
          <t>Integração com o sistema fiscal legado mais complexa que o estimado</t>
        </is>
      </c>
      <c r="E7" s="28" t="n">
        <v>3</v>
      </c>
      <c r="F7" s="28" t="n">
        <v>3</v>
      </c>
      <c r="G7" s="16">
        <f>IF(OR(E7="",F7=""),"",E7*F7)</f>
        <v/>
      </c>
      <c r="H7" s="28">
        <f>IF(G7="","",IF(G7&gt;=20,"🔴 Crítico",IF(G7&gt;=12,"🟠 Alto",IF(G7&gt;=6,"🟡 Moderado","🟢 Baixo"))))</f>
        <v/>
      </c>
      <c r="I7" s="28" t="inlineStr">
        <is>
          <t>Mitigar</t>
        </is>
      </c>
      <c r="J7" s="31" t="inlineStr">
        <is>
          <t>Prova de conceito da integração antes do desenvolvimento; consultor especialista sob demanda</t>
        </is>
      </c>
      <c r="K7" s="28" t="inlineStr">
        <is>
          <t>Diego Martins</t>
        </is>
      </c>
      <c r="L7" s="28" t="inlineStr">
        <is>
          <t>Em Tratamento</t>
        </is>
      </c>
      <c r="M7" s="43" t="n">
        <v>18000</v>
      </c>
      <c r="N7" s="27" t="n">
        <v>46203</v>
      </c>
      <c r="O7" s="43">
        <f>IF(OR(E7="",F7=""),"",E7/5*F7/5*'📋 TAP'!$C$10)</f>
        <v/>
      </c>
      <c r="Q7" s="39" t="n">
        <v>3</v>
      </c>
      <c r="R7" s="59">
        <f>COUNTIFS($E$4:$E$33,3,$F$4:$F$33,1,$L$4:$L$33,"&lt;&gt;Encerrado")</f>
        <v/>
      </c>
      <c r="S7" s="56">
        <f>COUNTIFS($E$4:$E$33,3,$F$4:$F$33,2,$L$4:$L$33,"&lt;&gt;Encerrado")</f>
        <v/>
      </c>
      <c r="T7" s="56">
        <f>COUNTIFS($E$4:$E$33,3,$F$4:$F$33,3,$L$4:$L$33,"&lt;&gt;Encerrado")</f>
        <v/>
      </c>
      <c r="U7" s="57">
        <f>COUNTIFS($E$4:$E$33,3,$F$4:$F$33,4,$L$4:$L$33,"&lt;&gt;Encerrado")</f>
        <v/>
      </c>
      <c r="V7" s="58">
        <f>COUNTIFS($E$4:$E$33,3,$F$4:$F$33,5,$L$4:$L$33,"&lt;&gt;Encerrado")</f>
        <v/>
      </c>
    </row>
    <row r="8">
      <c r="A8" s="16" t="inlineStr">
        <is>
          <t>R-05</t>
        </is>
      </c>
      <c r="B8" s="27" t="n">
        <v>46122</v>
      </c>
      <c r="C8" s="28" t="inlineStr">
        <is>
          <t>Externo</t>
        </is>
      </c>
      <c r="D8" s="31" t="inlineStr">
        <is>
          <t>Mudança na legislação fiscal exigindo reparametrização</t>
        </is>
      </c>
      <c r="E8" s="28" t="n">
        <v>2</v>
      </c>
      <c r="F8" s="28" t="n">
        <v>4</v>
      </c>
      <c r="G8" s="16">
        <f>IF(OR(E8="",F8=""),"",E8*F8)</f>
        <v/>
      </c>
      <c r="H8" s="28">
        <f>IF(G8="","",IF(G8&gt;=20,"🔴 Crítico",IF(G8&gt;=12,"🟠 Alto",IF(G8&gt;=6,"🟡 Moderado","🟢 Baixo"))))</f>
        <v/>
      </c>
      <c r="I8" s="28" t="inlineStr">
        <is>
          <t>Aceitar</t>
        </is>
      </c>
      <c r="J8" s="31" t="inlineStr">
        <is>
          <t>Monitorar publicações; reserva de contingência cobre até 200 h de ajustes</t>
        </is>
      </c>
      <c r="K8" s="28" t="inlineStr">
        <is>
          <t>Fernanda Costa</t>
        </is>
      </c>
      <c r="L8" s="28" t="inlineStr">
        <is>
          <t>Aberto</t>
        </is>
      </c>
      <c r="M8" s="43" t="n">
        <v>0</v>
      </c>
      <c r="N8" s="27" t="n">
        <v>46234</v>
      </c>
      <c r="O8" s="43">
        <f>IF(OR(E8="",F8=""),"",E8/5*F8/5*'📋 TAP'!$C$10)</f>
        <v/>
      </c>
      <c r="Q8" s="39" t="n">
        <v>2</v>
      </c>
      <c r="R8" s="59">
        <f>COUNTIFS($E$4:$E$33,2,$F$4:$F$33,1,$L$4:$L$33,"&lt;&gt;Encerrado")</f>
        <v/>
      </c>
      <c r="S8" s="59">
        <f>COUNTIFS($E$4:$E$33,2,$F$4:$F$33,2,$L$4:$L$33,"&lt;&gt;Encerrado")</f>
        <v/>
      </c>
      <c r="T8" s="56">
        <f>COUNTIFS($E$4:$E$33,2,$F$4:$F$33,3,$L$4:$L$33,"&lt;&gt;Encerrado")</f>
        <v/>
      </c>
      <c r="U8" s="56">
        <f>COUNTIFS($E$4:$E$33,2,$F$4:$F$33,4,$L$4:$L$33,"&lt;&gt;Encerrado")</f>
        <v/>
      </c>
      <c r="V8" s="57">
        <f>COUNTIFS($E$4:$E$33,2,$F$4:$F$33,5,$L$4:$L$33,"&lt;&gt;Encerrado")</f>
        <v/>
      </c>
    </row>
    <row r="9">
      <c r="A9" s="16" t="inlineStr">
        <is>
          <t>R-06</t>
        </is>
      </c>
      <c r="B9" s="27" t="n">
        <v>46127</v>
      </c>
      <c r="C9" s="28" t="inlineStr">
        <is>
          <t>Organizacional</t>
        </is>
      </c>
      <c r="D9" s="31" t="inlineStr">
        <is>
          <t>Resistência dos usuários à mudança reduz adoção pós go-live</t>
        </is>
      </c>
      <c r="E9" s="28" t="n">
        <v>3</v>
      </c>
      <c r="F9" s="28" t="n">
        <v>3</v>
      </c>
      <c r="G9" s="16">
        <f>IF(OR(E9="",F9=""),"",E9*F9)</f>
        <v/>
      </c>
      <c r="H9" s="28">
        <f>IF(G9="","",IF(G9&gt;=20,"🔴 Crítico",IF(G9&gt;=12,"🟠 Alto",IF(G9&gt;=6,"🟡 Moderado","🟢 Baixo"))))</f>
        <v/>
      </c>
      <c r="I9" s="28" t="inlineStr">
        <is>
          <t>Mitigar</t>
        </is>
      </c>
      <c r="J9" s="31" t="inlineStr">
        <is>
          <t>Plano de gestão da mudança; champions por área; comunicação quinzenal</t>
        </is>
      </c>
      <c r="K9" s="28" t="inlineStr">
        <is>
          <t>Fernanda Costa</t>
        </is>
      </c>
      <c r="L9" s="28" t="inlineStr">
        <is>
          <t>Em Tratamento</t>
        </is>
      </c>
      <c r="M9" s="43" t="n">
        <v>12000</v>
      </c>
      <c r="N9" s="27" t="n">
        <v>46213</v>
      </c>
      <c r="O9" s="43">
        <f>IF(OR(E9="",F9=""),"",E9/5*F9/5*'📋 TAP'!$C$10)</f>
        <v/>
      </c>
      <c r="Q9" s="39" t="n">
        <v>1</v>
      </c>
      <c r="R9" s="59">
        <f>COUNTIFS($E$4:$E$33,1,$F$4:$F$33,1,$L$4:$L$33,"&lt;&gt;Encerrado")</f>
        <v/>
      </c>
      <c r="S9" s="59">
        <f>COUNTIFS($E$4:$E$33,1,$F$4:$F$33,2,$L$4:$L$33,"&lt;&gt;Encerrado")</f>
        <v/>
      </c>
      <c r="T9" s="59">
        <f>COUNTIFS($E$4:$E$33,1,$F$4:$F$33,3,$L$4:$L$33,"&lt;&gt;Encerrado")</f>
        <v/>
      </c>
      <c r="U9" s="59">
        <f>COUNTIFS($E$4:$E$33,1,$F$4:$F$33,4,$L$4:$L$33,"&lt;&gt;Encerrado")</f>
        <v/>
      </c>
      <c r="V9" s="56">
        <f>COUNTIFS($E$4:$E$33,1,$F$4:$F$33,5,$L$4:$L$33,"&lt;&gt;Encerrado")</f>
        <v/>
      </c>
    </row>
    <row r="10">
      <c r="A10" s="16" t="inlineStr">
        <is>
          <t>R-07</t>
        </is>
      </c>
      <c r="B10" s="27" t="n">
        <v>46147</v>
      </c>
      <c r="C10" s="28" t="inlineStr">
        <is>
          <t>Gerenciamento</t>
        </is>
      </c>
      <c r="D10" s="31" t="inlineStr">
        <is>
          <t>Estouro de horas de customização além das 400 h contratadas</t>
        </is>
      </c>
      <c r="E10" s="28" t="n">
        <v>3</v>
      </c>
      <c r="F10" s="28" t="n">
        <v>4</v>
      </c>
      <c r="G10" s="16">
        <f>IF(OR(E10="",F10=""),"",E10*F10)</f>
        <v/>
      </c>
      <c r="H10" s="28">
        <f>IF(G10="","",IF(G10&gt;=20,"🔴 Crítico",IF(G10&gt;=12,"🟠 Alto",IF(G10&gt;=6,"🟡 Moderado","🟢 Baixo"))))</f>
        <v/>
      </c>
      <c r="I10" s="28" t="inlineStr">
        <is>
          <t>Mitigar</t>
        </is>
      </c>
      <c r="J10" s="31" t="inlineStr">
        <is>
          <t>Comitê de mudanças rigoroso; backlog priorizado; relatório semanal de consumo de horas</t>
        </is>
      </c>
      <c r="K10" s="28" t="inlineStr">
        <is>
          <t>Ana B. Souza</t>
        </is>
      </c>
      <c r="L10" s="28" t="inlineStr">
        <is>
          <t>Em Tratamento</t>
        </is>
      </c>
      <c r="M10" s="43" t="n">
        <v>0</v>
      </c>
      <c r="N10" s="27" t="n">
        <v>46195</v>
      </c>
      <c r="O10" s="43">
        <f>IF(OR(E10="",F10=""),"",E10/5*F10/5*'📋 TAP'!$C$10)</f>
        <v/>
      </c>
    </row>
    <row r="11">
      <c r="A11" s="16" t="inlineStr">
        <is>
          <t>R-08</t>
        </is>
      </c>
      <c r="B11" s="27" t="n">
        <v>46154</v>
      </c>
      <c r="C11" s="28" t="inlineStr">
        <is>
          <t>Técnico</t>
        </is>
      </c>
      <c r="D11" s="31" t="inlineStr">
        <is>
          <t>Performance inadequada do ambiente cloud em picos de carga</t>
        </is>
      </c>
      <c r="E11" s="28" t="n">
        <v>2</v>
      </c>
      <c r="F11" s="28" t="n">
        <v>3</v>
      </c>
      <c r="G11" s="16">
        <f>IF(OR(E11="",F11=""),"",E11*F11)</f>
        <v/>
      </c>
      <c r="H11" s="28">
        <f>IF(G11="","",IF(G11&gt;=20,"🔴 Crítico",IF(G11&gt;=12,"🟠 Alto",IF(G11&gt;=6,"🟡 Moderado","🟢 Baixo"))))</f>
        <v/>
      </c>
      <c r="I11" s="28" t="inlineStr">
        <is>
          <t>Mitigar</t>
        </is>
      </c>
      <c r="J11" s="31" t="inlineStr">
        <is>
          <t>Teste de carga antes do go-live; autoscaling configurado</t>
        </is>
      </c>
      <c r="K11" s="28" t="inlineStr">
        <is>
          <t>Roberto Lima</t>
        </is>
      </c>
      <c r="L11" s="28" t="inlineStr">
        <is>
          <t>Aberto</t>
        </is>
      </c>
      <c r="M11" s="43" t="n">
        <v>8000</v>
      </c>
      <c r="N11" s="27" t="n">
        <v>46248</v>
      </c>
      <c r="O11" s="43">
        <f>IF(OR(E11="",F11=""),"",E11/5*F11/5*'📋 TAP'!$C$10)</f>
        <v/>
      </c>
    </row>
    <row r="12">
      <c r="A12" s="16" t="inlineStr">
        <is>
          <t>R-09</t>
        </is>
      </c>
      <c r="B12" s="27" t="n">
        <v>46162</v>
      </c>
      <c r="C12" s="28" t="inlineStr">
        <is>
          <t>Externo</t>
        </is>
      </c>
      <c r="D12" s="31" t="inlineStr">
        <is>
          <t>Indisponibilidade do consultor sênior do fornecedor (pessoa-chave)</t>
        </is>
      </c>
      <c r="E12" s="28" t="n">
        <v>2</v>
      </c>
      <c r="F12" s="28" t="n">
        <v>4</v>
      </c>
      <c r="G12" s="16">
        <f>IF(OR(E12="",F12=""),"",E12*F12)</f>
        <v/>
      </c>
      <c r="H12" s="28">
        <f>IF(G12="","",IF(G12&gt;=20,"🔴 Crítico",IF(G12&gt;=12,"🟠 Alto",IF(G12&gt;=6,"🟡 Moderado","🟢 Baixo"))))</f>
        <v/>
      </c>
      <c r="I12" s="28" t="inlineStr">
        <is>
          <t>Transferir</t>
        </is>
      </c>
      <c r="J12" s="31" t="inlineStr">
        <is>
          <t>Cláusula de substituição em 5 dias úteis com profissional equivalente</t>
        </is>
      </c>
      <c r="K12" s="28" t="inlineStr">
        <is>
          <t>Ana B. Souza</t>
        </is>
      </c>
      <c r="L12" s="28" t="inlineStr">
        <is>
          <t>Aberto</t>
        </is>
      </c>
      <c r="M12" s="43" t="n">
        <v>0</v>
      </c>
      <c r="N12" s="27" t="n">
        <v>46220</v>
      </c>
      <c r="O12" s="43">
        <f>IF(OR(E12="",F12=""),"",E12/5*F12/5*'📋 TAP'!$C$10)</f>
        <v/>
      </c>
    </row>
    <row r="13">
      <c r="A13" s="16" t="inlineStr">
        <is>
          <t>R-10</t>
        </is>
      </c>
      <c r="B13" s="27" t="n">
        <v>46174</v>
      </c>
      <c r="C13" s="28" t="inlineStr">
        <is>
          <t>Regulatório</t>
        </is>
      </c>
      <c r="D13" s="31" t="inlineStr">
        <is>
          <t>Auditoria externa durante o go-live consumindo a equipe de TI</t>
        </is>
      </c>
      <c r="E13" s="28" t="n">
        <v>1</v>
      </c>
      <c r="F13" s="28" t="n">
        <v>3</v>
      </c>
      <c r="G13" s="16">
        <f>IF(OR(E13="",F13=""),"",E13*F13)</f>
        <v/>
      </c>
      <c r="H13" s="28">
        <f>IF(G13="","",IF(G13&gt;=20,"🔴 Crítico",IF(G13&gt;=12,"🟠 Alto",IF(G13&gt;=6,"🟡 Moderado","🟢 Baixo"))))</f>
        <v/>
      </c>
      <c r="I13" s="28" t="inlineStr">
        <is>
          <t>Aceitar</t>
        </is>
      </c>
      <c r="J13" s="31" t="inlineStr">
        <is>
          <t>Plano de contingência com janela alternativa de go-live em 23/10</t>
        </is>
      </c>
      <c r="K13" s="28" t="inlineStr">
        <is>
          <t>Ana B. Souza</t>
        </is>
      </c>
      <c r="L13" s="28" t="inlineStr">
        <is>
          <t>Aberto</t>
        </is>
      </c>
      <c r="M13" s="43" t="n">
        <v>0</v>
      </c>
      <c r="N13" s="27" t="n">
        <v>46269</v>
      </c>
      <c r="O13" s="43">
        <f>IF(OR(E13="",F13=""),"",E13/5*F13/5*'📋 TAP'!$C$10)</f>
        <v/>
      </c>
    </row>
    <row r="14">
      <c r="A14" s="13" t="n"/>
      <c r="B14" s="13" t="n"/>
      <c r="C14" s="13" t="n"/>
      <c r="D14" s="13" t="n"/>
      <c r="E14" s="13" t="n"/>
      <c r="F14" s="13" t="n"/>
      <c r="G14" s="16">
        <f>IF(OR(E14="",F14=""),"",E14*F14)</f>
        <v/>
      </c>
      <c r="H14" s="28">
        <f>IF(G14="","",IF(G14&gt;=20,"🔴 Crítico",IF(G14&gt;=12,"🟠 Alto",IF(G14&gt;=6,"🟡 Moderado","🟢 Baixo"))))</f>
        <v/>
      </c>
      <c r="I14" s="13" t="n"/>
      <c r="J14" s="13" t="n"/>
      <c r="K14" s="13" t="n"/>
      <c r="L14" s="13" t="n"/>
      <c r="M14" s="13" t="n"/>
      <c r="N14" s="13" t="n"/>
    </row>
    <row r="15">
      <c r="A15" s="13" t="n"/>
      <c r="B15" s="13" t="n"/>
      <c r="C15" s="13" t="n"/>
      <c r="D15" s="13" t="n"/>
      <c r="E15" s="13" t="n"/>
      <c r="F15" s="13" t="n"/>
      <c r="G15" s="16">
        <f>IF(OR(E15="",F15=""),"",E15*F15)</f>
        <v/>
      </c>
      <c r="H15" s="28">
        <f>IF(G15="","",IF(G15&gt;=20,"🔴 Crítico",IF(G15&gt;=12,"🟠 Alto",IF(G15&gt;=6,"🟡 Moderado","🟢 Baixo"))))</f>
        <v/>
      </c>
      <c r="I15" s="13" t="n"/>
      <c r="J15" s="13" t="n"/>
      <c r="K15" s="13" t="n"/>
      <c r="L15" s="13" t="n"/>
      <c r="M15" s="13" t="n"/>
      <c r="N15" s="13" t="n"/>
    </row>
    <row r="16">
      <c r="A16" s="13" t="n"/>
      <c r="B16" s="13" t="n"/>
      <c r="C16" s="13" t="n"/>
      <c r="D16" s="13" t="n"/>
      <c r="E16" s="13" t="n"/>
      <c r="F16" s="13" t="n"/>
      <c r="G16" s="16">
        <f>IF(OR(E16="",F16=""),"",E16*F16)</f>
        <v/>
      </c>
      <c r="H16" s="28">
        <f>IF(G16="","",IF(G16&gt;=20,"🔴 Crítico",IF(G16&gt;=12,"🟠 Alto",IF(G16&gt;=6,"🟡 Moderado","🟢 Baixo"))))</f>
        <v/>
      </c>
      <c r="I16" s="13" t="n"/>
      <c r="J16" s="13" t="n"/>
      <c r="K16" s="13" t="n"/>
      <c r="L16" s="13" t="n"/>
      <c r="M16" s="13" t="n"/>
      <c r="N16" s="13" t="n"/>
    </row>
    <row r="17">
      <c r="A17" s="13" t="n"/>
      <c r="B17" s="13" t="n"/>
      <c r="C17" s="13" t="n"/>
      <c r="D17" s="13" t="n"/>
      <c r="E17" s="13" t="n"/>
      <c r="F17" s="13" t="n"/>
      <c r="G17" s="16">
        <f>IF(OR(E17="",F17=""),"",E17*F17)</f>
        <v/>
      </c>
      <c r="H17" s="28">
        <f>IF(G17="","",IF(G17&gt;=20,"🔴 Crítico",IF(G17&gt;=12,"🟠 Alto",IF(G17&gt;=6,"🟡 Moderado","🟢 Baixo"))))</f>
        <v/>
      </c>
      <c r="I17" s="13" t="n"/>
      <c r="J17" s="13" t="n"/>
      <c r="K17" s="13" t="n"/>
      <c r="L17" s="13" t="n"/>
      <c r="M17" s="13" t="n"/>
      <c r="N17" s="13" t="n"/>
    </row>
    <row r="18">
      <c r="A18" s="13" t="n"/>
      <c r="B18" s="13" t="n"/>
      <c r="C18" s="13" t="n"/>
      <c r="D18" s="13" t="n"/>
      <c r="E18" s="13" t="n"/>
      <c r="F18" s="13" t="n"/>
      <c r="G18" s="16">
        <f>IF(OR(E18="",F18=""),"",E18*F18)</f>
        <v/>
      </c>
      <c r="H18" s="28">
        <f>IF(G18="","",IF(G18&gt;=20,"🔴 Crítico",IF(G18&gt;=12,"🟠 Alto",IF(G18&gt;=6,"🟡 Moderado","🟢 Baixo"))))</f>
        <v/>
      </c>
      <c r="I18" s="13" t="n"/>
      <c r="J18" s="13" t="n"/>
      <c r="K18" s="13" t="n"/>
      <c r="L18" s="13" t="n"/>
      <c r="M18" s="13" t="n"/>
      <c r="N18" s="13" t="n"/>
    </row>
    <row r="19">
      <c r="A19" s="13" t="n"/>
      <c r="B19" s="13" t="n"/>
      <c r="C19" s="13" t="n"/>
      <c r="D19" s="13" t="n"/>
      <c r="E19" s="13" t="n"/>
      <c r="F19" s="13" t="n"/>
      <c r="G19" s="16">
        <f>IF(OR(E19="",F19=""),"",E19*F19)</f>
        <v/>
      </c>
      <c r="H19" s="28">
        <f>IF(G19="","",IF(G19&gt;=20,"🔴 Crítico",IF(G19&gt;=12,"🟠 Alto",IF(G19&gt;=6,"🟡 Moderado","🟢 Baixo"))))</f>
        <v/>
      </c>
      <c r="I19" s="13" t="n"/>
      <c r="J19" s="13" t="n"/>
      <c r="K19" s="13" t="n"/>
      <c r="L19" s="13" t="n"/>
      <c r="M19" s="13" t="n"/>
      <c r="N19" s="13" t="n"/>
    </row>
    <row r="20">
      <c r="A20" s="13" t="n"/>
      <c r="B20" s="13" t="n"/>
      <c r="C20" s="13" t="n"/>
      <c r="D20" s="13" t="n"/>
      <c r="E20" s="13" t="n"/>
      <c r="F20" s="13" t="n"/>
      <c r="G20" s="16">
        <f>IF(OR(E20="",F20=""),"",E20*F20)</f>
        <v/>
      </c>
      <c r="H20" s="28">
        <f>IF(G20="","",IF(G20&gt;=20,"🔴 Crítico",IF(G20&gt;=12,"🟠 Alto",IF(G20&gt;=6,"🟡 Moderado","🟢 Baixo"))))</f>
        <v/>
      </c>
      <c r="I20" s="13" t="n"/>
      <c r="J20" s="13" t="n"/>
      <c r="K20" s="13" t="n"/>
      <c r="L20" s="13" t="n"/>
      <c r="M20" s="13" t="n"/>
      <c r="N20" s="13" t="n"/>
    </row>
    <row r="21">
      <c r="A21" s="13" t="n"/>
      <c r="B21" s="13" t="n"/>
      <c r="C21" s="13" t="n"/>
      <c r="D21" s="13" t="n"/>
      <c r="E21" s="13" t="n"/>
      <c r="F21" s="13" t="n"/>
      <c r="G21" s="16">
        <f>IF(OR(E21="",F21=""),"",E21*F21)</f>
        <v/>
      </c>
      <c r="H21" s="28">
        <f>IF(G21="","",IF(G21&gt;=20,"🔴 Crítico",IF(G21&gt;=12,"🟠 Alto",IF(G21&gt;=6,"🟡 Moderado","🟢 Baixo"))))</f>
        <v/>
      </c>
      <c r="I21" s="13" t="n"/>
      <c r="J21" s="13" t="n"/>
      <c r="K21" s="13" t="n"/>
      <c r="L21" s="13" t="n"/>
      <c r="M21" s="13" t="n"/>
      <c r="N21" s="13" t="n"/>
    </row>
    <row r="22">
      <c r="A22" s="13" t="n"/>
      <c r="B22" s="13" t="n"/>
      <c r="C22" s="13" t="n"/>
      <c r="D22" s="13" t="n"/>
      <c r="E22" s="13" t="n"/>
      <c r="F22" s="13" t="n"/>
      <c r="G22" s="16">
        <f>IF(OR(E22="",F22=""),"",E22*F22)</f>
        <v/>
      </c>
      <c r="H22" s="28">
        <f>IF(G22="","",IF(G22&gt;=20,"🔴 Crítico",IF(G22&gt;=12,"🟠 Alto",IF(G22&gt;=6,"🟡 Moderado","🟢 Baixo"))))</f>
        <v/>
      </c>
      <c r="I22" s="13" t="n"/>
      <c r="J22" s="13" t="n"/>
      <c r="K22" s="13" t="n"/>
      <c r="L22" s="13" t="n"/>
      <c r="M22" s="13" t="n"/>
      <c r="N22" s="13" t="n"/>
    </row>
    <row r="23">
      <c r="A23" s="13" t="n"/>
      <c r="B23" s="13" t="n"/>
      <c r="C23" s="13" t="n"/>
      <c r="D23" s="13" t="n"/>
      <c r="E23" s="13" t="n"/>
      <c r="F23" s="13" t="n"/>
      <c r="G23" s="16">
        <f>IF(OR(E23="",F23=""),"",E23*F23)</f>
        <v/>
      </c>
      <c r="H23" s="28">
        <f>IF(G23="","",IF(G23&gt;=20,"🔴 Crítico",IF(G23&gt;=12,"🟠 Alto",IF(G23&gt;=6,"🟡 Moderado","🟢 Baixo"))))</f>
        <v/>
      </c>
      <c r="I23" s="13" t="n"/>
      <c r="J23" s="13" t="n"/>
      <c r="K23" s="13" t="n"/>
      <c r="L23" s="13" t="n"/>
      <c r="M23" s="13" t="n"/>
      <c r="N23" s="13" t="n"/>
    </row>
    <row r="24">
      <c r="A24" s="13" t="n"/>
      <c r="B24" s="13" t="n"/>
      <c r="C24" s="13" t="n"/>
      <c r="D24" s="13" t="n"/>
      <c r="E24" s="13" t="n"/>
      <c r="F24" s="13" t="n"/>
      <c r="G24" s="16">
        <f>IF(OR(E24="",F24=""),"",E24*F24)</f>
        <v/>
      </c>
      <c r="H24" s="28">
        <f>IF(G24="","",IF(G24&gt;=20,"🔴 Crítico",IF(G24&gt;=12,"🟠 Alto",IF(G24&gt;=6,"🟡 Moderado","🟢 Baixo"))))</f>
        <v/>
      </c>
      <c r="I24" s="13" t="n"/>
      <c r="J24" s="13" t="n"/>
      <c r="K24" s="13" t="n"/>
      <c r="L24" s="13" t="n"/>
      <c r="M24" s="13" t="n"/>
      <c r="N24" s="13" t="n"/>
    </row>
    <row r="25">
      <c r="A25" s="13" t="n"/>
      <c r="B25" s="13" t="n"/>
      <c r="C25" s="13" t="n"/>
      <c r="D25" s="13" t="n"/>
      <c r="E25" s="13" t="n"/>
      <c r="F25" s="13" t="n"/>
      <c r="G25" s="16">
        <f>IF(OR(E25="",F25=""),"",E25*F25)</f>
        <v/>
      </c>
      <c r="H25" s="28">
        <f>IF(G25="","",IF(G25&gt;=20,"🔴 Crítico",IF(G25&gt;=12,"🟠 Alto",IF(G25&gt;=6,"🟡 Moderado","🟢 Baixo"))))</f>
        <v/>
      </c>
      <c r="I25" s="13" t="n"/>
      <c r="J25" s="13" t="n"/>
      <c r="K25" s="13" t="n"/>
      <c r="L25" s="13" t="n"/>
      <c r="M25" s="13" t="n"/>
      <c r="N25" s="13" t="n"/>
    </row>
    <row r="26">
      <c r="A26" s="13" t="n"/>
      <c r="B26" s="13" t="n"/>
      <c r="C26" s="13" t="n"/>
      <c r="D26" s="13" t="n"/>
      <c r="E26" s="13" t="n"/>
      <c r="F26" s="13" t="n"/>
      <c r="G26" s="16">
        <f>IF(OR(E26="",F26=""),"",E26*F26)</f>
        <v/>
      </c>
      <c r="H26" s="28">
        <f>IF(G26="","",IF(G26&gt;=20,"🔴 Crítico",IF(G26&gt;=12,"🟠 Alto",IF(G26&gt;=6,"🟡 Moderado","🟢 Baixo"))))</f>
        <v/>
      </c>
      <c r="I26" s="13" t="n"/>
      <c r="J26" s="13" t="n"/>
      <c r="K26" s="13" t="n"/>
      <c r="L26" s="13" t="n"/>
      <c r="M26" s="13" t="n"/>
      <c r="N26" s="13" t="n"/>
    </row>
    <row r="27">
      <c r="A27" s="13" t="n"/>
      <c r="B27" s="13" t="n"/>
      <c r="C27" s="13" t="n"/>
      <c r="D27" s="13" t="n"/>
      <c r="E27" s="13" t="n"/>
      <c r="F27" s="13" t="n"/>
      <c r="G27" s="16">
        <f>IF(OR(E27="",F27=""),"",E27*F27)</f>
        <v/>
      </c>
      <c r="H27" s="28">
        <f>IF(G27="","",IF(G27&gt;=20,"🔴 Crítico",IF(G27&gt;=12,"🟠 Alto",IF(G27&gt;=6,"🟡 Moderado","🟢 Baixo"))))</f>
        <v/>
      </c>
      <c r="I27" s="13" t="n"/>
      <c r="J27" s="13" t="n"/>
      <c r="K27" s="13" t="n"/>
      <c r="L27" s="13" t="n"/>
      <c r="M27" s="13" t="n"/>
      <c r="N27" s="13" t="n"/>
    </row>
    <row r="28">
      <c r="A28" s="13" t="n"/>
      <c r="B28" s="13" t="n"/>
      <c r="C28" s="13" t="n"/>
      <c r="D28" s="13" t="n"/>
      <c r="E28" s="13" t="n"/>
      <c r="F28" s="13" t="n"/>
      <c r="G28" s="16">
        <f>IF(OR(E28="",F28=""),"",E28*F28)</f>
        <v/>
      </c>
      <c r="H28" s="28">
        <f>IF(G28="","",IF(G28&gt;=20,"🔴 Crítico",IF(G28&gt;=12,"🟠 Alto",IF(G28&gt;=6,"🟡 Moderado","🟢 Baixo"))))</f>
        <v/>
      </c>
      <c r="I28" s="13" t="n"/>
      <c r="J28" s="13" t="n"/>
      <c r="K28" s="13" t="n"/>
      <c r="L28" s="13" t="n"/>
      <c r="M28" s="13" t="n"/>
      <c r="N28" s="13" t="n"/>
    </row>
    <row r="29">
      <c r="A29" s="13" t="n"/>
      <c r="B29" s="13" t="n"/>
      <c r="C29" s="13" t="n"/>
      <c r="D29" s="13" t="n"/>
      <c r="E29" s="13" t="n"/>
      <c r="F29" s="13" t="n"/>
      <c r="G29" s="16">
        <f>IF(OR(E29="",F29=""),"",E29*F29)</f>
        <v/>
      </c>
      <c r="H29" s="28">
        <f>IF(G29="","",IF(G29&gt;=20,"🔴 Crítico",IF(G29&gt;=12,"🟠 Alto",IF(G29&gt;=6,"🟡 Moderado","🟢 Baixo"))))</f>
        <v/>
      </c>
      <c r="I29" s="13" t="n"/>
      <c r="J29" s="13" t="n"/>
      <c r="K29" s="13" t="n"/>
      <c r="L29" s="13" t="n"/>
      <c r="M29" s="13" t="n"/>
      <c r="N29" s="13" t="n"/>
    </row>
    <row r="30">
      <c r="A30" s="13" t="n"/>
      <c r="B30" s="13" t="n"/>
      <c r="C30" s="13" t="n"/>
      <c r="D30" s="13" t="n"/>
      <c r="E30" s="13" t="n"/>
      <c r="F30" s="13" t="n"/>
      <c r="G30" s="16">
        <f>IF(OR(E30="",F30=""),"",E30*F30)</f>
        <v/>
      </c>
      <c r="H30" s="28">
        <f>IF(G30="","",IF(G30&gt;=20,"🔴 Crítico",IF(G30&gt;=12,"🟠 Alto",IF(G30&gt;=6,"🟡 Moderado","🟢 Baixo"))))</f>
        <v/>
      </c>
      <c r="I30" s="13" t="n"/>
      <c r="J30" s="13" t="n"/>
      <c r="K30" s="13" t="n"/>
      <c r="L30" s="13" t="n"/>
      <c r="M30" s="13" t="n"/>
      <c r="N30" s="13" t="n"/>
    </row>
    <row r="31">
      <c r="A31" s="13" t="n"/>
      <c r="B31" s="13" t="n"/>
      <c r="C31" s="13" t="n"/>
      <c r="D31" s="13" t="n"/>
      <c r="E31" s="13" t="n"/>
      <c r="F31" s="13" t="n"/>
      <c r="G31" s="16">
        <f>IF(OR(E31="",F31=""),"",E31*F31)</f>
        <v/>
      </c>
      <c r="H31" s="28">
        <f>IF(G31="","",IF(G31&gt;=20,"🔴 Crítico",IF(G31&gt;=12,"🟠 Alto",IF(G31&gt;=6,"🟡 Moderado","🟢 Baixo"))))</f>
        <v/>
      </c>
      <c r="I31" s="13" t="n"/>
      <c r="J31" s="13" t="n"/>
      <c r="K31" s="13" t="n"/>
      <c r="L31" s="13" t="n"/>
      <c r="M31" s="13" t="n"/>
      <c r="N31" s="13" t="n"/>
    </row>
    <row r="32">
      <c r="A32" s="13" t="n"/>
      <c r="B32" s="13" t="n"/>
      <c r="C32" s="13" t="n"/>
      <c r="D32" s="13" t="n"/>
      <c r="E32" s="13" t="n"/>
      <c r="F32" s="13" t="n"/>
      <c r="G32" s="16">
        <f>IF(OR(E32="",F32=""),"",E32*F32)</f>
        <v/>
      </c>
      <c r="H32" s="28">
        <f>IF(G32="","",IF(G32&gt;=20,"🔴 Crítico",IF(G32&gt;=12,"🟠 Alto",IF(G32&gt;=6,"🟡 Moderado","🟢 Baixo"))))</f>
        <v/>
      </c>
      <c r="I32" s="13" t="n"/>
      <c r="J32" s="13" t="n"/>
      <c r="K32" s="13" t="n"/>
      <c r="L32" s="13" t="n"/>
      <c r="M32" s="13" t="n"/>
      <c r="N32" s="13" t="n"/>
    </row>
    <row r="33">
      <c r="A33" s="13" t="n"/>
      <c r="B33" s="13" t="n"/>
      <c r="C33" s="13" t="n"/>
      <c r="D33" s="13" t="n"/>
      <c r="E33" s="13" t="n"/>
      <c r="F33" s="13" t="n"/>
      <c r="G33" s="16">
        <f>IF(OR(E33="",F33=""),"",E33*F33)</f>
        <v/>
      </c>
      <c r="H33" s="28">
        <f>IF(G33="","",IF(G33&gt;=20,"🔴 Crítico",IF(G33&gt;=12,"🟠 Alto",IF(G33&gt;=6,"🟡 Moderado","🟢 Baixo"))))</f>
        <v/>
      </c>
      <c r="I33" s="13" t="n"/>
      <c r="J33" s="13" t="n"/>
      <c r="K33" s="13" t="n"/>
      <c r="L33" s="13" t="n"/>
      <c r="M33" s="13" t="n"/>
      <c r="N33" s="13" t="n"/>
    </row>
  </sheetData>
  <autoFilter ref="A3:O13"/>
  <mergeCells count="2">
    <mergeCell ref="A1:O1"/>
    <mergeCell ref="Q3:W3"/>
  </mergeCells>
  <conditionalFormatting sqref="H4:H33">
    <cfRule type="expression" priority="1" dxfId="0" stopIfTrue="1">
      <formula>NOT(ISERROR(SEARCH("Crítico",H4)))</formula>
    </cfRule>
    <cfRule type="expression" priority="2" dxfId="6" stopIfTrue="1">
      <formula>NOT(ISERROR(SEARCH("Alto",H4)))</formula>
    </cfRule>
    <cfRule type="expression" priority="3" dxfId="1" stopIfTrue="1">
      <formula>NOT(ISERROR(SEARCH("Moderado",H4)))</formula>
    </cfRule>
    <cfRule type="expression" priority="4" dxfId="2" stopIfTrue="1">
      <formula>NOT(ISERROR(SEARCH("Baixo",H4)))</formula>
    </cfRule>
  </conditionalFormatting>
  <conditionalFormatting sqref="G4:G33">
    <cfRule type="colorScale" priority="5">
      <colorScale>
        <cfvo type="num" val="1"/>
        <cfvo type="num" val="12"/>
        <cfvo type="num" val="25"/>
        <color rgb="0063BE7B"/>
        <color rgb="00FFEB84"/>
        <color rgb="00F8696B"/>
      </colorScale>
    </cfRule>
  </conditionalFormatting>
  <dataValidations count="4">
    <dataValidation sqref="C4:C33" showDropDown="0" showInputMessage="0" showErrorMessage="1" allowBlank="1" errorTitle="Valor inválido" error="Selecione um valor da lista suspensa." type="list">
      <formula1>=ListaCatRisco</formula1>
    </dataValidation>
    <dataValidation sqref="E4:F33" showDropDown="0" showInputMessage="0" showErrorMessage="1" allowBlank="1" errorTitle="Valor inválido" error="Selecione um valor da lista suspensa." type="list">
      <formula1>=Lista15</formula1>
    </dataValidation>
    <dataValidation sqref="I4:I33" showDropDown="0" showInputMessage="0" showErrorMessage="1" allowBlank="1" errorTitle="Valor inválido" error="Selecione um valor da lista suspensa." type="list">
      <formula1>=ListaEstrategia</formula1>
    </dataValidation>
    <dataValidation sqref="L4:L33" showDropDown="0" showInputMessage="0" showErrorMessage="1" allowBlank="1" errorTitle="Valor inválido" error="Selecione um valor da lista suspensa." type="list">
      <formula1>=ListaStatusRisco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L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20" customWidth="1" min="4" max="4"/>
    <col width="8" customWidth="1" min="5" max="5"/>
    <col width="9" customWidth="1" min="6" max="6"/>
    <col width="18" customWidth="1" min="7" max="7"/>
    <col width="13" customWidth="1" min="8" max="8"/>
    <col width="13" customWidth="1" min="9" max="9"/>
    <col width="42" customWidth="1" min="10" max="10"/>
    <col width="20" customWidth="1" min="11" max="11"/>
    <col width="14" customWidth="1" min="12" max="12"/>
  </cols>
  <sheetData>
    <row r="1" ht="30" customHeight="1">
      <c r="A1" s="29" t="inlineStr">
        <is>
          <t>REGISTRO DE PARTES INTERESSADAS — MATRIZ PODER × INTERESSE</t>
        </is>
      </c>
    </row>
    <row r="3" ht="40" customHeight="1">
      <c r="A3" s="37" t="inlineStr">
        <is>
          <t>ID</t>
        </is>
      </c>
      <c r="B3" s="37" t="inlineStr">
        <is>
          <t>Nome</t>
        </is>
      </c>
      <c r="C3" s="37" t="inlineStr">
        <is>
          <t>Cargo / Organização</t>
        </is>
      </c>
      <c r="D3" s="37" t="inlineStr">
        <is>
          <t>Papel no Projeto</t>
        </is>
      </c>
      <c r="E3" s="37" t="inlineStr">
        <is>
          <t>Poder
(1-5)</t>
        </is>
      </c>
      <c r="F3" s="37" t="inlineStr">
        <is>
          <t>Interesse
(1-5)</t>
        </is>
      </c>
      <c r="G3" s="37" t="inlineStr">
        <is>
          <t>Quadrante (auto)</t>
        </is>
      </c>
      <c r="H3" s="37" t="inlineStr">
        <is>
          <t>Engajamento
Atual</t>
        </is>
      </c>
      <c r="I3" s="37" t="inlineStr">
        <is>
          <t>Engajamento
Desejado</t>
        </is>
      </c>
      <c r="J3" s="37" t="inlineStr">
        <is>
          <t>Estratégia de Engajamento</t>
        </is>
      </c>
      <c r="K3" s="37" t="inlineStr">
        <is>
          <t>Canal / Frequência</t>
        </is>
      </c>
      <c r="L3" s="37" t="inlineStr">
        <is>
          <t>Responsável</t>
        </is>
      </c>
    </row>
    <row r="4">
      <c r="A4" s="16" t="inlineStr">
        <is>
          <t>S-01</t>
        </is>
      </c>
      <c r="B4" s="19" t="inlineStr">
        <is>
          <t>Carlos Mendes</t>
        </is>
      </c>
      <c r="C4" s="19" t="inlineStr">
        <is>
          <t>Diretor de Operações</t>
        </is>
      </c>
      <c r="D4" s="19" t="inlineStr">
        <is>
          <t>Patrocinador</t>
        </is>
      </c>
      <c r="E4" s="28" t="n">
        <v>5</v>
      </c>
      <c r="F4" s="28" t="n">
        <v>5</v>
      </c>
      <c r="G4" s="28">
        <f>IF(OR(E4="",F4=""),"",IF(AND(E4&gt;=3,F4&gt;=3),"🔴 Gerenciar de Perto",IF(E4&gt;=3,"🟠 Manter Satisfeito",IF(F4&gt;=3,"🟡 Manter Informado","🟢 Monitorar"))))</f>
        <v/>
      </c>
      <c r="H4" s="28" t="inlineStr">
        <is>
          <t>Apoiador</t>
        </is>
      </c>
      <c r="I4" s="28" t="inlineStr">
        <is>
          <t>Líder</t>
        </is>
      </c>
      <c r="J4" s="31" t="inlineStr">
        <is>
          <t>Reunião executiva quinzenal; decisões de escopo e verba passam por ele</t>
        </is>
      </c>
      <c r="K4" s="28" t="inlineStr">
        <is>
          <t>Reunião / quinzenal</t>
        </is>
      </c>
      <c r="L4" s="28" t="inlineStr">
        <is>
          <t>Ana B. Souza</t>
        </is>
      </c>
    </row>
    <row r="5">
      <c r="A5" s="16" t="inlineStr">
        <is>
          <t>S-02</t>
        </is>
      </c>
      <c r="B5" s="19" t="inlineStr">
        <is>
          <t>Marta Oliveira</t>
        </is>
      </c>
      <c r="C5" s="19" t="inlineStr">
        <is>
          <t>CFO</t>
        </is>
      </c>
      <c r="D5" s="19" t="inlineStr">
        <is>
          <t>Comitê Diretivo</t>
        </is>
      </c>
      <c r="E5" s="28" t="n">
        <v>5</v>
      </c>
      <c r="F5" s="28" t="n">
        <v>3</v>
      </c>
      <c r="G5" s="28">
        <f>IF(OR(E5="",F5=""),"",IF(AND(E5&gt;=3,F5&gt;=3),"🔴 Gerenciar de Perto",IF(E5&gt;=3,"🟠 Manter Satisfeito",IF(F5&gt;=3,"🟡 Manter Informado","🟢 Monitorar"))))</f>
        <v/>
      </c>
      <c r="H5" s="28" t="inlineStr">
        <is>
          <t>Neutro</t>
        </is>
      </c>
      <c r="I5" s="28" t="inlineStr">
        <is>
          <t>Apoiador</t>
        </is>
      </c>
      <c r="J5" s="31" t="inlineStr">
        <is>
          <t>Apresentar ROI e ganhos no fechamento contábil; envolver na aprovação do orçamento</t>
        </is>
      </c>
      <c r="K5" s="28" t="inlineStr">
        <is>
          <t>Status report / mensal</t>
        </is>
      </c>
      <c r="L5" s="28" t="inlineStr">
        <is>
          <t>Ana B. Souza</t>
        </is>
      </c>
    </row>
    <row r="6">
      <c r="A6" s="16" t="inlineStr">
        <is>
          <t>S-03</t>
        </is>
      </c>
      <c r="B6" s="19" t="inlineStr">
        <is>
          <t>Paulo Ferreira</t>
        </is>
      </c>
      <c r="C6" s="19" t="inlineStr">
        <is>
          <t>Gerente de TI</t>
        </is>
      </c>
      <c r="D6" s="19" t="inlineStr">
        <is>
          <t>Líder técnico interno</t>
        </is>
      </c>
      <c r="E6" s="28" t="n">
        <v>4</v>
      </c>
      <c r="F6" s="28" t="n">
        <v>5</v>
      </c>
      <c r="G6" s="28">
        <f>IF(OR(E6="",F6=""),"",IF(AND(E6&gt;=3,F6&gt;=3),"🔴 Gerenciar de Perto",IF(E6&gt;=3,"🟠 Manter Satisfeito",IF(F6&gt;=3,"🟡 Manter Informado","🟢 Monitorar"))))</f>
        <v/>
      </c>
      <c r="H6" s="28" t="inlineStr">
        <is>
          <t>Apoiador</t>
        </is>
      </c>
      <c r="I6" s="28" t="inlineStr">
        <is>
          <t>Apoiador</t>
        </is>
      </c>
      <c r="J6" s="31" t="inlineStr">
        <is>
          <t>Envolver nas decisões de arquitetura e infraestrutura</t>
        </is>
      </c>
      <c r="K6" s="28" t="inlineStr">
        <is>
          <t>Daily técnica / semanal</t>
        </is>
      </c>
      <c r="L6" s="28" t="inlineStr">
        <is>
          <t>Roberto Lima</t>
        </is>
      </c>
    </row>
    <row r="7">
      <c r="A7" s="16" t="inlineStr">
        <is>
          <t>S-04</t>
        </is>
      </c>
      <c r="B7" s="19" t="inlineStr">
        <is>
          <t>Key users (12)</t>
        </is>
      </c>
      <c r="C7" s="19" t="inlineStr">
        <is>
          <t>Coordenadores das áreas</t>
        </is>
      </c>
      <c r="D7" s="19" t="inlineStr">
        <is>
          <t>Validação dos processos</t>
        </is>
      </c>
      <c r="E7" s="28" t="n">
        <v>3</v>
      </c>
      <c r="F7" s="28" t="n">
        <v>5</v>
      </c>
      <c r="G7" s="28">
        <f>IF(OR(E7="",F7=""),"",IF(AND(E7&gt;=3,F7&gt;=3),"🔴 Gerenciar de Perto",IF(E7&gt;=3,"🟠 Manter Satisfeito",IF(F7&gt;=3,"🟡 Manter Informado","🟢 Monitorar"))))</f>
        <v/>
      </c>
      <c r="H7" s="28" t="inlineStr">
        <is>
          <t>Resistente</t>
        </is>
      </c>
      <c r="I7" s="28" t="inlineStr">
        <is>
          <t>Apoiador</t>
        </is>
      </c>
      <c r="J7" s="31" t="inlineStr">
        <is>
          <t>Workshops de cocriação; reconhecer esforço junto às diretorias; plano de gestão da mudança</t>
        </is>
      </c>
      <c r="K7" s="28" t="inlineStr">
        <is>
          <t>Workshop / semanal</t>
        </is>
      </c>
      <c r="L7" s="28" t="inlineStr">
        <is>
          <t>Fernanda Costa</t>
        </is>
      </c>
    </row>
    <row r="8">
      <c r="A8" s="16" t="inlineStr">
        <is>
          <t>S-05</t>
        </is>
      </c>
      <c r="B8" s="19" t="inlineStr">
        <is>
          <t>Usuários finais (320)</t>
        </is>
      </c>
      <c r="C8" s="19" t="inlineStr">
        <is>
          <t>Operação</t>
        </is>
      </c>
      <c r="D8" s="19" t="inlineStr">
        <is>
          <t>Usuários do sistema</t>
        </is>
      </c>
      <c r="E8" s="28" t="n">
        <v>1</v>
      </c>
      <c r="F8" s="28" t="n">
        <v>4</v>
      </c>
      <c r="G8" s="28">
        <f>IF(OR(E8="",F8=""),"",IF(AND(E8&gt;=3,F8&gt;=3),"🔴 Gerenciar de Perto",IF(E8&gt;=3,"🟠 Manter Satisfeito",IF(F8&gt;=3,"🟡 Manter Informado","🟢 Monitorar"))))</f>
        <v/>
      </c>
      <c r="H8" s="28" t="inlineStr">
        <is>
          <t>Desinformado</t>
        </is>
      </c>
      <c r="I8" s="28" t="inlineStr">
        <is>
          <t>Neutro</t>
        </is>
      </c>
      <c r="J8" s="31" t="inlineStr">
        <is>
          <t>Comunicação quinzenal; champions por área; treinamento próximo ao go-live</t>
        </is>
      </c>
      <c r="K8" s="28" t="inlineStr">
        <is>
          <t>E-mail+intranet / quinzenal</t>
        </is>
      </c>
      <c r="L8" s="28" t="inlineStr">
        <is>
          <t>Fernanda Costa</t>
        </is>
      </c>
    </row>
    <row r="9">
      <c r="A9" s="16" t="inlineStr">
        <is>
          <t>S-06</t>
        </is>
      </c>
      <c r="B9" s="19" t="inlineStr">
        <is>
          <t>TechSolutions</t>
        </is>
      </c>
      <c r="C9" s="19" t="inlineStr">
        <is>
          <t>Fornecedor do ERP</t>
        </is>
      </c>
      <c r="D9" s="19" t="inlineStr">
        <is>
          <t>Implantadora</t>
        </is>
      </c>
      <c r="E9" s="28" t="n">
        <v>4</v>
      </c>
      <c r="F9" s="28" t="n">
        <v>4</v>
      </c>
      <c r="G9" s="28">
        <f>IF(OR(E9="",F9=""),"",IF(AND(E9&gt;=3,F9&gt;=3),"🔴 Gerenciar de Perto",IF(E9&gt;=3,"🟠 Manter Satisfeito",IF(F9&gt;=3,"🟡 Manter Informado","🟢 Monitorar"))))</f>
        <v/>
      </c>
      <c r="H9" s="28" t="inlineStr">
        <is>
          <t>Apoiador</t>
        </is>
      </c>
      <c r="I9" s="28" t="inlineStr">
        <is>
          <t>Apoiador</t>
        </is>
      </c>
      <c r="J9" s="31" t="inlineStr">
        <is>
          <t>Governança contratual; reunião de steering mensal; SLAs monitorados</t>
        </is>
      </c>
      <c r="K9" s="28" t="inlineStr">
        <is>
          <t>Steering / mensal</t>
        </is>
      </c>
      <c r="L9" s="28" t="inlineStr">
        <is>
          <t>Ana B. Souza</t>
        </is>
      </c>
    </row>
    <row r="10">
      <c r="A10" s="16" t="inlineStr">
        <is>
          <t>S-07</t>
        </is>
      </c>
      <c r="B10" s="19" t="inlineStr">
        <is>
          <t>Auditoria Interna</t>
        </is>
      </c>
      <c r="C10" s="19" t="inlineStr">
        <is>
          <t>Compliance</t>
        </is>
      </c>
      <c r="D10" s="19" t="inlineStr">
        <is>
          <t>Controles e conformidade</t>
        </is>
      </c>
      <c r="E10" s="28" t="n">
        <v>3</v>
      </c>
      <c r="F10" s="28" t="n">
        <v>2</v>
      </c>
      <c r="G10" s="28">
        <f>IF(OR(E10="",F10=""),"",IF(AND(E10&gt;=3,F10&gt;=3),"🔴 Gerenciar de Perto",IF(E10&gt;=3,"🟠 Manter Satisfeito",IF(F10&gt;=3,"🟡 Manter Informado","🟢 Monitorar"))))</f>
        <v/>
      </c>
      <c r="H10" s="28" t="inlineStr">
        <is>
          <t>Neutro</t>
        </is>
      </c>
      <c r="I10" s="28" t="inlineStr">
        <is>
          <t>Neutro</t>
        </is>
      </c>
      <c r="J10" s="31" t="inlineStr">
        <is>
          <t>Informar marcos e evidências de controles; convidar para o UAT</t>
        </is>
      </c>
      <c r="K10" s="28" t="inlineStr">
        <is>
          <t>Relatório / por marco</t>
        </is>
      </c>
      <c r="L10" s="28" t="inlineStr">
        <is>
          <t>Ana B. Souza</t>
        </is>
      </c>
    </row>
    <row r="11">
      <c r="A11" s="16" t="inlineStr">
        <is>
          <t>S-08</t>
        </is>
      </c>
      <c r="B11" s="19" t="inlineStr">
        <is>
          <t>Sindicato/RH</t>
        </is>
      </c>
      <c r="C11" s="19" t="inlineStr">
        <is>
          <t>Recursos Humanos</t>
        </is>
      </c>
      <c r="D11" s="19" t="inlineStr">
        <is>
          <t>Impactos na operação</t>
        </is>
      </c>
      <c r="E11" s="28" t="n">
        <v>2</v>
      </c>
      <c r="F11" s="28" t="n">
        <v>2</v>
      </c>
      <c r="G11" s="28">
        <f>IF(OR(E11="",F11=""),"",IF(AND(E11&gt;=3,F11&gt;=3),"🔴 Gerenciar de Perto",IF(E11&gt;=3,"🟠 Manter Satisfeito",IF(F11&gt;=3,"🟡 Manter Informado","🟢 Monitorar"))))</f>
        <v/>
      </c>
      <c r="H11" s="28" t="inlineStr">
        <is>
          <t>Desinformado</t>
        </is>
      </c>
      <c r="I11" s="28" t="inlineStr">
        <is>
          <t>Neutro</t>
        </is>
      </c>
      <c r="J11" s="31" t="inlineStr">
        <is>
          <t>Comunicado formal sobre mudanças de rotina; canal de dúvidas</t>
        </is>
      </c>
      <c r="K11" s="28" t="inlineStr">
        <is>
          <t>Comunicado / por fase</t>
        </is>
      </c>
      <c r="L11" s="28" t="inlineStr">
        <is>
          <t>Fernanda Costa</t>
        </is>
      </c>
    </row>
    <row r="12">
      <c r="A12" s="13" t="n"/>
      <c r="B12" s="13" t="n"/>
      <c r="C12" s="13" t="n"/>
      <c r="D12" s="13" t="n"/>
      <c r="E12" s="13" t="n"/>
      <c r="F12" s="13" t="n"/>
      <c r="G12" s="28">
        <f>IF(OR(E12="",F12=""),"",IF(AND(E12&gt;=3,F12&gt;=3),"🔴 Gerenciar de Perto",IF(E12&gt;=3,"🟠 Manter Satisfeito",IF(F12&gt;=3,"🟡 Manter Informado","🟢 Monitorar"))))</f>
        <v/>
      </c>
      <c r="H12" s="13" t="n"/>
      <c r="I12" s="13" t="n"/>
      <c r="J12" s="13" t="n"/>
      <c r="K12" s="13" t="n"/>
      <c r="L12" s="13" t="n"/>
    </row>
    <row r="13">
      <c r="A13" s="13" t="n"/>
      <c r="B13" s="13" t="n"/>
      <c r="C13" s="13" t="n"/>
      <c r="D13" s="13" t="n"/>
      <c r="E13" s="13" t="n"/>
      <c r="F13" s="13" t="n"/>
      <c r="G13" s="28">
        <f>IF(OR(E13="",F13=""),"",IF(AND(E13&gt;=3,F13&gt;=3),"🔴 Gerenciar de Perto",IF(E13&gt;=3,"🟠 Manter Satisfeito",IF(F13&gt;=3,"🟡 Manter Informado","🟢 Monitorar"))))</f>
        <v/>
      </c>
      <c r="H13" s="13" t="n"/>
      <c r="I13" s="13" t="n"/>
      <c r="J13" s="13" t="n"/>
      <c r="K13" s="13" t="n"/>
      <c r="L13" s="13" t="n"/>
    </row>
    <row r="14">
      <c r="A14" s="13" t="n"/>
      <c r="B14" s="13" t="n"/>
      <c r="C14" s="13" t="n"/>
      <c r="D14" s="13" t="n"/>
      <c r="E14" s="13" t="n"/>
      <c r="F14" s="13" t="n"/>
      <c r="G14" s="28">
        <f>IF(OR(E14="",F14=""),"",IF(AND(E14&gt;=3,F14&gt;=3),"🔴 Gerenciar de Perto",IF(E14&gt;=3,"🟠 Manter Satisfeito",IF(F14&gt;=3,"🟡 Manter Informado","🟢 Monitorar"))))</f>
        <v/>
      </c>
      <c r="H14" s="13" t="n"/>
      <c r="I14" s="13" t="n"/>
      <c r="J14" s="13" t="n"/>
      <c r="K14" s="13" t="n"/>
      <c r="L14" s="13" t="n"/>
    </row>
    <row r="15">
      <c r="A15" s="13" t="n"/>
      <c r="B15" s="13" t="n"/>
      <c r="C15" s="13" t="n"/>
      <c r="D15" s="13" t="n"/>
      <c r="E15" s="13" t="n"/>
      <c r="F15" s="13" t="n"/>
      <c r="G15" s="28">
        <f>IF(OR(E15="",F15=""),"",IF(AND(E15&gt;=3,F15&gt;=3),"🔴 Gerenciar de Perto",IF(E15&gt;=3,"🟠 Manter Satisfeito",IF(F15&gt;=3,"🟡 Manter Informado","🟢 Monitorar"))))</f>
        <v/>
      </c>
      <c r="H15" s="13" t="n"/>
      <c r="I15" s="13" t="n"/>
      <c r="J15" s="13" t="n"/>
      <c r="K15" s="13" t="n"/>
      <c r="L15" s="13" t="n"/>
    </row>
    <row r="16">
      <c r="A16" s="13" t="n"/>
      <c r="B16" s="13" t="n"/>
      <c r="C16" s="13" t="n"/>
      <c r="D16" s="13" t="n"/>
      <c r="E16" s="13" t="n"/>
      <c r="F16" s="13" t="n"/>
      <c r="G16" s="28">
        <f>IF(OR(E16="",F16=""),"",IF(AND(E16&gt;=3,F16&gt;=3),"🔴 Gerenciar de Perto",IF(E16&gt;=3,"🟠 Manter Satisfeito",IF(F16&gt;=3,"🟡 Manter Informado","🟢 Monitorar"))))</f>
        <v/>
      </c>
      <c r="H16" s="13" t="n"/>
      <c r="I16" s="13" t="n"/>
      <c r="J16" s="13" t="n"/>
      <c r="K16" s="13" t="n"/>
      <c r="L16" s="13" t="n"/>
    </row>
    <row r="17">
      <c r="A17" s="13" t="n"/>
      <c r="B17" s="13" t="n"/>
      <c r="C17" s="13" t="n"/>
      <c r="D17" s="13" t="n"/>
      <c r="E17" s="13" t="n"/>
      <c r="F17" s="13" t="n"/>
      <c r="G17" s="28">
        <f>IF(OR(E17="",F17=""),"",IF(AND(E17&gt;=3,F17&gt;=3),"🔴 Gerenciar de Perto",IF(E17&gt;=3,"🟠 Manter Satisfeito",IF(F17&gt;=3,"🟡 Manter Informado","🟢 Monitorar"))))</f>
        <v/>
      </c>
      <c r="H17" s="13" t="n"/>
      <c r="I17" s="13" t="n"/>
      <c r="J17" s="13" t="n"/>
      <c r="K17" s="13" t="n"/>
      <c r="L17" s="13" t="n"/>
    </row>
    <row r="18">
      <c r="A18" s="13" t="n"/>
      <c r="B18" s="13" t="n"/>
      <c r="C18" s="13" t="n"/>
      <c r="D18" s="13" t="n"/>
      <c r="E18" s="13" t="n"/>
      <c r="F18" s="13" t="n"/>
      <c r="G18" s="28">
        <f>IF(OR(E18="",F18=""),"",IF(AND(E18&gt;=3,F18&gt;=3),"🔴 Gerenciar de Perto",IF(E18&gt;=3,"🟠 Manter Satisfeito",IF(F18&gt;=3,"🟡 Manter Informado","🟢 Monitorar"))))</f>
        <v/>
      </c>
      <c r="H18" s="13" t="n"/>
      <c r="I18" s="13" t="n"/>
      <c r="J18" s="13" t="n"/>
      <c r="K18" s="13" t="n"/>
      <c r="L18" s="13" t="n"/>
    </row>
    <row r="19">
      <c r="A19" s="13" t="n"/>
      <c r="B19" s="13" t="n"/>
      <c r="C19" s="13" t="n"/>
      <c r="D19" s="13" t="n"/>
      <c r="E19" s="13" t="n"/>
      <c r="F19" s="13" t="n"/>
      <c r="G19" s="28">
        <f>IF(OR(E19="",F19=""),"",IF(AND(E19&gt;=3,F19&gt;=3),"🔴 Gerenciar de Perto",IF(E19&gt;=3,"🟠 Manter Satisfeito",IF(F19&gt;=3,"🟡 Manter Informado","🟢 Monitorar"))))</f>
        <v/>
      </c>
      <c r="H19" s="13" t="n"/>
      <c r="I19" s="13" t="n"/>
      <c r="J19" s="13" t="n"/>
      <c r="K19" s="13" t="n"/>
      <c r="L19" s="13" t="n"/>
    </row>
    <row r="20">
      <c r="A20" s="13" t="n"/>
      <c r="B20" s="13" t="n"/>
      <c r="C20" s="13" t="n"/>
      <c r="D20" s="13" t="n"/>
      <c r="E20" s="13" t="n"/>
      <c r="F20" s="13" t="n"/>
      <c r="G20" s="28">
        <f>IF(OR(E20="",F20=""),"",IF(AND(E20&gt;=3,F20&gt;=3),"🔴 Gerenciar de Perto",IF(E20&gt;=3,"🟠 Manter Satisfeito",IF(F20&gt;=3,"🟡 Manter Informado","🟢 Monitorar"))))</f>
        <v/>
      </c>
      <c r="H20" s="13" t="n"/>
      <c r="I20" s="13" t="n"/>
      <c r="J20" s="13" t="n"/>
      <c r="K20" s="13" t="n"/>
      <c r="L20" s="13" t="n"/>
    </row>
    <row r="21">
      <c r="A21" s="13" t="n"/>
      <c r="B21" s="13" t="n"/>
      <c r="C21" s="13" t="n"/>
      <c r="D21" s="13" t="n"/>
      <c r="E21" s="13" t="n"/>
      <c r="F21" s="13" t="n"/>
      <c r="G21" s="28">
        <f>IF(OR(E21="",F21=""),"",IF(AND(E21&gt;=3,F21&gt;=3),"🔴 Gerenciar de Perto",IF(E21&gt;=3,"🟠 Manter Satisfeito",IF(F21&gt;=3,"🟡 Manter Informado","🟢 Monitorar"))))</f>
        <v/>
      </c>
      <c r="H21" s="13" t="n"/>
      <c r="I21" s="13" t="n"/>
      <c r="J21" s="13" t="n"/>
      <c r="K21" s="13" t="n"/>
      <c r="L21" s="13" t="n"/>
    </row>
    <row r="22">
      <c r="A22" s="13" t="n"/>
      <c r="B22" s="13" t="n"/>
      <c r="C22" s="13" t="n"/>
      <c r="D22" s="13" t="n"/>
      <c r="E22" s="13" t="n"/>
      <c r="F22" s="13" t="n"/>
      <c r="G22" s="28">
        <f>IF(OR(E22="",F22=""),"",IF(AND(E22&gt;=3,F22&gt;=3),"🔴 Gerenciar de Perto",IF(E22&gt;=3,"🟠 Manter Satisfeito",IF(F22&gt;=3,"🟡 Manter Informado","🟢 Monitorar"))))</f>
        <v/>
      </c>
      <c r="H22" s="13" t="n"/>
      <c r="I22" s="13" t="n"/>
      <c r="J22" s="13" t="n"/>
      <c r="K22" s="13" t="n"/>
      <c r="L22" s="13" t="n"/>
    </row>
    <row r="23">
      <c r="A23" s="13" t="n"/>
      <c r="B23" s="13" t="n"/>
      <c r="C23" s="13" t="n"/>
      <c r="D23" s="13" t="n"/>
      <c r="E23" s="13" t="n"/>
      <c r="F23" s="13" t="n"/>
      <c r="G23" s="28">
        <f>IF(OR(E23="",F23=""),"",IF(AND(E23&gt;=3,F23&gt;=3),"🔴 Gerenciar de Perto",IF(E23&gt;=3,"🟠 Manter Satisfeito",IF(F23&gt;=3,"🟡 Manter Informado","🟢 Monitorar"))))</f>
        <v/>
      </c>
      <c r="H23" s="13" t="n"/>
      <c r="I23" s="13" t="n"/>
      <c r="J23" s="13" t="n"/>
      <c r="K23" s="13" t="n"/>
      <c r="L23" s="13" t="n"/>
    </row>
    <row r="24">
      <c r="A24" s="13" t="n"/>
      <c r="B24" s="13" t="n"/>
      <c r="C24" s="13" t="n"/>
      <c r="D24" s="13" t="n"/>
      <c r="E24" s="13" t="n"/>
      <c r="F24" s="13" t="n"/>
      <c r="G24" s="28">
        <f>IF(OR(E24="",F24=""),"",IF(AND(E24&gt;=3,F24&gt;=3),"🔴 Gerenciar de Perto",IF(E24&gt;=3,"🟠 Manter Satisfeito",IF(F24&gt;=3,"🟡 Manter Informado","🟢 Monitorar"))))</f>
        <v/>
      </c>
      <c r="H24" s="13" t="n"/>
      <c r="I24" s="13" t="n"/>
      <c r="J24" s="13" t="n"/>
      <c r="K24" s="13" t="n"/>
      <c r="L24" s="13" t="n"/>
    </row>
    <row r="25">
      <c r="A25" s="13" t="n"/>
      <c r="B25" s="13" t="n"/>
      <c r="C25" s="13" t="n"/>
      <c r="D25" s="13" t="n"/>
      <c r="E25" s="13" t="n"/>
      <c r="F25" s="13" t="n"/>
      <c r="G25" s="28">
        <f>IF(OR(E25="",F25=""),"",IF(AND(E25&gt;=3,F25&gt;=3),"🔴 Gerenciar de Perto",IF(E25&gt;=3,"🟠 Manter Satisfeito",IF(F25&gt;=3,"🟡 Manter Informado","🟢 Monitorar"))))</f>
        <v/>
      </c>
      <c r="H25" s="13" t="n"/>
      <c r="I25" s="13" t="n"/>
      <c r="J25" s="13" t="n"/>
      <c r="K25" s="13" t="n"/>
      <c r="L25" s="13" t="n"/>
    </row>
    <row r="26">
      <c r="A26" s="13" t="n"/>
      <c r="B26" s="13" t="n"/>
      <c r="C26" s="13" t="n"/>
      <c r="D26" s="13" t="n"/>
      <c r="E26" s="13" t="n"/>
      <c r="F26" s="13" t="n"/>
      <c r="G26" s="28">
        <f>IF(OR(E26="",F26=""),"",IF(AND(E26&gt;=3,F26&gt;=3),"🔴 Gerenciar de Perto",IF(E26&gt;=3,"🟠 Manter Satisfeito",IF(F26&gt;=3,"🟡 Manter Informado","🟢 Monitorar"))))</f>
        <v/>
      </c>
      <c r="H26" s="13" t="n"/>
      <c r="I26" s="13" t="n"/>
      <c r="J26" s="13" t="n"/>
      <c r="K26" s="13" t="n"/>
      <c r="L26" s="13" t="n"/>
    </row>
  </sheetData>
  <autoFilter ref="A3:L11"/>
  <mergeCells count="1">
    <mergeCell ref="A1:L1"/>
  </mergeCells>
  <conditionalFormatting sqref="H4:H26">
    <cfRule type="expression" priority="1" dxfId="1">
      <formula>AND($H4&lt;&gt;"",$I4&lt;&gt;"",$H4&lt;&gt;$I4)</formula>
    </cfRule>
  </conditionalFormatting>
  <conditionalFormatting sqref="G4:G26">
    <cfRule type="expression" priority="2" dxfId="0" stopIfTrue="1">
      <formula>NOT(ISERROR(SEARCH("Gerenciar de Perto",G4)))</formula>
    </cfRule>
    <cfRule type="expression" priority="3" dxfId="6" stopIfTrue="1">
      <formula>NOT(ISERROR(SEARCH("Manter Satisfeito",G4)))</formula>
    </cfRule>
    <cfRule type="expression" priority="4" dxfId="1" stopIfTrue="1">
      <formula>NOT(ISERROR(SEARCH("Manter Informado",G4)))</formula>
    </cfRule>
    <cfRule type="expression" priority="5" dxfId="2" stopIfTrue="1">
      <formula>NOT(ISERROR(SEARCH("Monitorar",G4)))</formula>
    </cfRule>
  </conditionalFormatting>
  <dataValidations count="2">
    <dataValidation sqref="E4:F26" showDropDown="0" showInputMessage="0" showErrorMessage="1" allowBlank="1" errorTitle="Valor inválido" error="Selecione um valor da lista suspensa." type="list">
      <formula1>=Lista15</formula1>
    </dataValidation>
    <dataValidation sqref="H4:I26" showDropDown="0" showInputMessage="0" showErrorMessage="1" allowBlank="1" errorTitle="Valor inválido" error="Selecione um valor da lista suspensa." type="list">
      <formula1>=ListaEngajamento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5FA3"/>
    <outlinePr summaryBelow="1" summaryRight="1"/>
    <pageSetUpPr/>
  </sheetPr>
  <dimension ref="A1:L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6" customWidth="1" min="3" max="3"/>
    <col width="42" customWidth="1" min="4" max="4"/>
    <col width="34" customWidth="1" min="5" max="5"/>
    <col width="14" customWidth="1" min="6" max="6"/>
    <col width="11" customWidth="1" min="7" max="7"/>
    <col width="13" customWidth="1" min="8" max="8"/>
    <col width="11" customWidth="1" min="9" max="9"/>
    <col width="14" customWidth="1" min="10" max="10"/>
    <col width="12" customWidth="1" min="11" max="11"/>
    <col width="16" customWidth="1" min="12" max="12"/>
  </cols>
  <sheetData>
    <row r="1" ht="30" customHeight="1">
      <c r="A1" s="29" t="inlineStr">
        <is>
          <t>CONTROLE INTEGRADO DE MUDANÇAS (CHANGE LOG)</t>
        </is>
      </c>
    </row>
    <row r="3" ht="40" customHeight="1">
      <c r="A3" s="37" t="inlineStr">
        <is>
          <t>ID</t>
        </is>
      </c>
      <c r="B3" s="37" t="inlineStr">
        <is>
          <t>Data</t>
        </is>
      </c>
      <c r="C3" s="37" t="inlineStr">
        <is>
          <t>Solicitante</t>
        </is>
      </c>
      <c r="D3" s="37" t="inlineStr">
        <is>
          <t>Descrição da Mudança</t>
        </is>
      </c>
      <c r="E3" s="37" t="inlineStr">
        <is>
          <t>Justificativa</t>
        </is>
      </c>
      <c r="F3" s="37" t="inlineStr">
        <is>
          <t>Impacto no
Escopo</t>
        </is>
      </c>
      <c r="G3" s="37" t="inlineStr">
        <is>
          <t>Impacto no
Prazo (dias)</t>
        </is>
      </c>
      <c r="H3" s="37" t="inlineStr">
        <is>
          <t>Impacto no
Custo (R$)</t>
        </is>
      </c>
      <c r="I3" s="37" t="inlineStr">
        <is>
          <t>Prioridade</t>
        </is>
      </c>
      <c r="J3" s="37" t="inlineStr">
        <is>
          <t>Status</t>
        </is>
      </c>
      <c r="K3" s="37" t="inlineStr">
        <is>
          <t>Decisão /
Data</t>
        </is>
      </c>
      <c r="L3" s="37" t="inlineStr">
        <is>
          <t>Aprovador</t>
        </is>
      </c>
    </row>
    <row r="4">
      <c r="A4" s="28" t="inlineStr">
        <is>
          <t>MUD-01</t>
        </is>
      </c>
      <c r="B4" s="27" t="n">
        <v>46134</v>
      </c>
      <c r="C4" s="28" t="inlineStr">
        <is>
          <t>Diretoria Comercial</t>
        </is>
      </c>
      <c r="D4" s="31" t="inlineStr">
        <is>
          <t>Incluir relatório de comissões customizado no módulo Vendas</t>
        </is>
      </c>
      <c r="E4" s="31" t="inlineStr">
        <is>
          <t>Relatório atual é feito manualmente e consome 40 h/mês</t>
        </is>
      </c>
      <c r="F4" s="28" t="inlineStr">
        <is>
          <t>Aumenta</t>
        </is>
      </c>
      <c r="G4" s="28" t="n">
        <v>5</v>
      </c>
      <c r="H4" s="60" t="n">
        <v>22000</v>
      </c>
      <c r="I4" s="28" t="inlineStr">
        <is>
          <t>🟡 Média</t>
        </is>
      </c>
      <c r="J4" s="28" t="inlineStr">
        <is>
          <t>Aprovada</t>
        </is>
      </c>
      <c r="K4" s="27" t="n">
        <v>46146</v>
      </c>
      <c r="L4" s="28" t="inlineStr">
        <is>
          <t>Comitê (CCB)</t>
        </is>
      </c>
    </row>
    <row r="5">
      <c r="A5" s="28" t="inlineStr">
        <is>
          <t>MUD-02</t>
        </is>
      </c>
      <c r="B5" s="27" t="n">
        <v>46157</v>
      </c>
      <c r="C5" s="28" t="inlineStr">
        <is>
          <t>Key user Financeiro</t>
        </is>
      </c>
      <c r="D5" s="31" t="inlineStr">
        <is>
          <t>Alterar fluxo de aprovação de pagamentos para 3 níveis</t>
        </is>
      </c>
      <c r="E5" s="31" t="inlineStr">
        <is>
          <t>Política de alçadas revisada pela CFO</t>
        </is>
      </c>
      <c r="F5" s="28" t="inlineStr">
        <is>
          <t>Neutro</t>
        </is>
      </c>
      <c r="G5" s="28" t="n">
        <v>3</v>
      </c>
      <c r="H5" s="60" t="n">
        <v>8500</v>
      </c>
      <c r="I5" s="28" t="inlineStr">
        <is>
          <t>🔴 Alta</t>
        </is>
      </c>
      <c r="J5" s="28" t="inlineStr">
        <is>
          <t>Aprovada</t>
        </is>
      </c>
      <c r="K5" s="27" t="n">
        <v>46164</v>
      </c>
      <c r="L5" s="28" t="inlineStr">
        <is>
          <t>Comitê (CCB)</t>
        </is>
      </c>
    </row>
    <row r="6">
      <c r="A6" s="28" t="inlineStr">
        <is>
          <t>MUD-03</t>
        </is>
      </c>
      <c r="B6" s="27" t="n">
        <v>46170</v>
      </c>
      <c r="C6" s="28" t="inlineStr">
        <is>
          <t>Gerente de TI</t>
        </is>
      </c>
      <c r="D6" s="31" t="inlineStr">
        <is>
          <t>Antecipar integração com e-commerce (fase 2) para o go-live</t>
        </is>
      </c>
      <c r="E6" s="31" t="inlineStr">
        <is>
          <t>Oportunidade comercial de fim de ano</t>
        </is>
      </c>
      <c r="F6" s="28" t="inlineStr">
        <is>
          <t>Aumenta</t>
        </is>
      </c>
      <c r="G6" s="28" t="n">
        <v>25</v>
      </c>
      <c r="H6" s="60" t="n">
        <v>95000</v>
      </c>
      <c r="I6" s="28" t="inlineStr">
        <is>
          <t>🟡 Média</t>
        </is>
      </c>
      <c r="J6" s="28" t="inlineStr">
        <is>
          <t>Rejeitada</t>
        </is>
      </c>
      <c r="K6" s="27" t="n">
        <v>46178</v>
      </c>
      <c r="L6" s="28" t="inlineStr">
        <is>
          <t>Patrocinador</t>
        </is>
      </c>
    </row>
    <row r="7">
      <c r="A7" s="28" t="inlineStr">
        <is>
          <t>MUD-04</t>
        </is>
      </c>
      <c r="B7" s="27" t="n">
        <v>46181</v>
      </c>
      <c r="C7" s="28" t="inlineStr">
        <is>
          <t>Fornecedor</t>
        </is>
      </c>
      <c r="D7" s="31" t="inlineStr">
        <is>
          <t>Substituir ferramenta de carga de dados por versão mais recente</t>
        </is>
      </c>
      <c r="E7" s="31" t="inlineStr">
        <is>
          <t>Versão atual será descontinuada pelo fabricante</t>
        </is>
      </c>
      <c r="F7" s="28" t="inlineStr">
        <is>
          <t>Neutro</t>
        </is>
      </c>
      <c r="G7" s="28" t="n">
        <v>0</v>
      </c>
      <c r="H7" s="60" t="n">
        <v>0</v>
      </c>
      <c r="I7" s="28" t="inlineStr">
        <is>
          <t>🟢 Baixa</t>
        </is>
      </c>
      <c r="J7" s="28" t="inlineStr">
        <is>
          <t>Em Análise</t>
        </is>
      </c>
      <c r="K7" s="27" t="n"/>
      <c r="L7" s="28" t="inlineStr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</sheetData>
  <autoFilter ref="A3:L7"/>
  <mergeCells count="1">
    <mergeCell ref="A1:L1"/>
  </mergeCells>
  <conditionalFormatting sqref="J4:J22">
    <cfRule type="expression" priority="1" dxfId="2" stopIfTrue="1">
      <formula>NOT(ISERROR(SEARCH("Aprovada",J4)))</formula>
    </cfRule>
    <cfRule type="expression" priority="2" dxfId="0" stopIfTrue="1">
      <formula>NOT(ISERROR(SEARCH("Rejeitada",J4)))</formula>
    </cfRule>
    <cfRule type="expression" priority="3" dxfId="1" stopIfTrue="1">
      <formula>NOT(ISERROR(SEARCH("Em Análise",J4)))</formula>
    </cfRule>
    <cfRule type="expression" priority="4" dxfId="7" stopIfTrue="1">
      <formula>NOT(ISERROR(SEARCH("Implementada",J4)))</formula>
    </cfRule>
  </conditionalFormatting>
  <dataValidations count="2">
    <dataValidation sqref="I4:I22" showDropDown="0" showInputMessage="0" showErrorMessage="1" allowBlank="1" errorTitle="Valor inválido" error="Selecione um valor da lista suspensa." type="list">
      <formula1>=ListaPrioridade</formula1>
    </dataValidation>
    <dataValidation sqref="J4:J22" showDropDown="0" showInputMessage="0" showErrorMessage="1" allowBlank="1" errorTitle="Valor inválido" error="Selecione um valor da lista suspensa." type="list">
      <formula1>=ListaStatusMudanca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K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8" customWidth="1" min="3" max="3"/>
    <col width="14" customWidth="1" min="4" max="4"/>
    <col width="11" customWidth="1" min="5" max="5"/>
    <col width="16" customWidth="1" min="6" max="6"/>
    <col width="11" customWidth="1" min="7" max="7"/>
    <col width="14" customWidth="1" min="8" max="8"/>
    <col width="10" customWidth="1" min="9" max="9"/>
    <col width="8" customWidth="1" min="10" max="10"/>
    <col width="40" customWidth="1" min="11" max="11"/>
  </cols>
  <sheetData>
    <row r="1" ht="30" customHeight="1">
      <c r="A1" s="29" t="inlineStr">
        <is>
          <t>REGISTRO DE QUESTÕES E IMPEDIMENTOS (ISSUE LOG)</t>
        </is>
      </c>
    </row>
    <row r="3" ht="40" customHeight="1">
      <c r="A3" s="37" t="inlineStr">
        <is>
          <t>ID</t>
        </is>
      </c>
      <c r="B3" s="37" t="inlineStr">
        <is>
          <t>Data
Abertura</t>
        </is>
      </c>
      <c r="C3" s="37" t="inlineStr">
        <is>
          <t>Descrição da Questão</t>
        </is>
      </c>
      <c r="D3" s="37" t="inlineStr">
        <is>
          <t>Origem /
Relacionada a</t>
        </is>
      </c>
      <c r="E3" s="37" t="inlineStr">
        <is>
          <t>Prioridade</t>
        </is>
      </c>
      <c r="F3" s="37" t="inlineStr">
        <is>
          <t>Responsável</t>
        </is>
      </c>
      <c r="G3" s="37" t="inlineStr">
        <is>
          <t>Prazo</t>
        </is>
      </c>
      <c r="H3" s="37" t="inlineStr">
        <is>
          <t>Status</t>
        </is>
      </c>
      <c r="I3" s="37" t="inlineStr">
        <is>
          <t>Dias em
Aberto (auto)</t>
        </is>
      </c>
      <c r="J3" s="37" t="inlineStr">
        <is>
          <t>Alerta
(auto)</t>
        </is>
      </c>
      <c r="K3" s="37" t="inlineStr">
        <is>
          <t>Resolução</t>
        </is>
      </c>
    </row>
    <row r="4">
      <c r="A4" s="16" t="inlineStr">
        <is>
          <t>Q-01</t>
        </is>
      </c>
      <c r="B4" s="27" t="n">
        <v>46160</v>
      </c>
      <c r="C4" s="31" t="inlineStr">
        <is>
          <t>De-para de plano de contas com 340 contas sem correspondência</t>
        </is>
      </c>
      <c r="D4" s="28" t="inlineStr">
        <is>
          <t>R-01</t>
        </is>
      </c>
      <c r="E4" s="28" t="inlineStr">
        <is>
          <t>🔴 Alta</t>
        </is>
      </c>
      <c r="F4" s="28" t="inlineStr">
        <is>
          <t>Roberto Lima</t>
        </is>
      </c>
      <c r="G4" s="27" t="n">
        <v>46183</v>
      </c>
      <c r="H4" s="28" t="inlineStr">
        <is>
          <t>Em Tratamento</t>
        </is>
      </c>
      <c r="I4" s="28">
        <f>IF(B4="","",IF(H4="Resolvida","—",TODAY()-B4))</f>
        <v/>
      </c>
      <c r="J4" s="28">
        <f>IF(OR(G4="",H4="Resolvida"),"",IF(TODAY()&gt;G4,"🔴",IF(G4-TODAY()&lt;=5,"🟡","🟢")))</f>
        <v/>
      </c>
      <c r="K4" s="31" t="inlineStr">
        <is>
          <t>Workshop com contabilidade agendado; 60% mapeado</t>
        </is>
      </c>
    </row>
    <row r="5">
      <c r="A5" s="16" t="inlineStr">
        <is>
          <t>Q-02</t>
        </is>
      </c>
      <c r="B5" s="27" t="n">
        <v>46167</v>
      </c>
      <c r="C5" s="31" t="inlineStr">
        <is>
          <t>Key user de Suprimentos alocado em outro projeto da diretoria</t>
        </is>
      </c>
      <c r="D5" s="28" t="inlineStr">
        <is>
          <t>R-02</t>
        </is>
      </c>
      <c r="E5" s="28" t="inlineStr">
        <is>
          <t>🔴 Alta</t>
        </is>
      </c>
      <c r="F5" s="28" t="inlineStr">
        <is>
          <t>Ana B. Souza</t>
        </is>
      </c>
      <c r="G5" s="27" t="n">
        <v>46178</v>
      </c>
      <c r="H5" s="28" t="inlineStr">
        <is>
          <t>Escalada</t>
        </is>
      </c>
      <c r="I5" s="28">
        <f>IF(B5="","",IF(H5="Resolvida","—",TODAY()-B5))</f>
        <v/>
      </c>
      <c r="J5" s="28">
        <f>IF(OR(G5="",H5="Resolvida"),"",IF(TODAY()&gt;G5,"🔴",IF(G5-TODAY()&lt;=5,"🟡","🟢")))</f>
        <v/>
      </c>
      <c r="K5" s="31" t="inlineStr">
        <is>
          <t>Escalado ao patrocinador em 01/06</t>
        </is>
      </c>
    </row>
    <row r="6">
      <c r="A6" s="16" t="inlineStr">
        <is>
          <t>Q-03</t>
        </is>
      </c>
      <c r="B6" s="27" t="n">
        <v>46174</v>
      </c>
      <c r="C6" s="31" t="inlineStr">
        <is>
          <t>Ambiente de QA instável após atualização do fornecedor</t>
        </is>
      </c>
      <c r="D6" s="28" t="inlineStr">
        <is>
          <t>1.2.2</t>
        </is>
      </c>
      <c r="E6" s="28" t="inlineStr">
        <is>
          <t>🟡 Média</t>
        </is>
      </c>
      <c r="F6" s="28" t="inlineStr">
        <is>
          <t>Roberto Lima</t>
        </is>
      </c>
      <c r="G6" s="27" t="n">
        <v>46185</v>
      </c>
      <c r="H6" s="28" t="inlineStr">
        <is>
          <t>Em Tratamento</t>
        </is>
      </c>
      <c r="I6" s="28">
        <f>IF(B6="","",IF(H6="Resolvida","—",TODAY()-B6))</f>
        <v/>
      </c>
      <c r="J6" s="28">
        <f>IF(OR(G6="",H6="Resolvida"),"",IF(TODAY()&gt;G6,"🔴",IF(G6-TODAY()&lt;=5,"🟡","🟢")))</f>
        <v/>
      </c>
      <c r="K6" s="31" t="inlineStr">
        <is>
          <t>Chamado aberto no fornecedor (SLA 5 dias)</t>
        </is>
      </c>
    </row>
    <row r="7">
      <c r="A7" s="16" t="inlineStr">
        <is>
          <t>Q-04</t>
        </is>
      </c>
      <c r="B7" s="27" t="n">
        <v>46176</v>
      </c>
      <c r="C7" s="31" t="inlineStr">
        <is>
          <t>Definição pendente da política de alçadas para o fluxo de compras</t>
        </is>
      </c>
      <c r="D7" s="28" t="inlineStr">
        <is>
          <t>1.3.2</t>
        </is>
      </c>
      <c r="E7" s="28" t="inlineStr">
        <is>
          <t>🔴 Alta</t>
        </is>
      </c>
      <c r="F7" s="28" t="inlineStr">
        <is>
          <t>Diego Martins</t>
        </is>
      </c>
      <c r="G7" s="27" t="n">
        <v>46192</v>
      </c>
      <c r="H7" s="28" t="inlineStr">
        <is>
          <t>Aberta</t>
        </is>
      </c>
      <c r="I7" s="28">
        <f>IF(B7="","",IF(H7="Resolvida","—",TODAY()-B7))</f>
        <v/>
      </c>
      <c r="J7" s="28">
        <f>IF(OR(G7="",H7="Resolvida"),"",IF(TODAY()&gt;G7,"🔴",IF(G7-TODAY()&lt;=5,"🟡","🟢")))</f>
        <v/>
      </c>
      <c r="K7" s="31" t="inlineStr"/>
    </row>
    <row r="8">
      <c r="A8" s="16" t="inlineStr">
        <is>
          <t>Q-05</t>
        </is>
      </c>
      <c r="B8" s="27" t="n">
        <v>46126</v>
      </c>
      <c r="C8" s="31" t="inlineStr">
        <is>
          <t>Acesso VPN dos consultores externos bloqueado pela segurança</t>
        </is>
      </c>
      <c r="D8" s="28" t="inlineStr">
        <is>
          <t>1.2</t>
        </is>
      </c>
      <c r="E8" s="28" t="inlineStr">
        <is>
          <t>🟡 Média</t>
        </is>
      </c>
      <c r="F8" s="28" t="inlineStr">
        <is>
          <t>Paulo Ferreira</t>
        </is>
      </c>
      <c r="G8" s="27" t="n">
        <v>46136</v>
      </c>
      <c r="H8" s="28" t="inlineStr">
        <is>
          <t>Resolvida</t>
        </is>
      </c>
      <c r="I8" s="28">
        <f>IF(B8="","",IF(H8="Resolvida","—",TODAY()-B8))</f>
        <v/>
      </c>
      <c r="J8" s="28">
        <f>IF(OR(G8="",H8="Resolvida"),"",IF(TODAY()&gt;G8,"🔴",IF(G8-TODAY()&lt;=5,"🟡","🟢")))</f>
        <v/>
      </c>
      <c r="K8" s="31" t="inlineStr">
        <is>
          <t>Política de acesso temporário aprovada em 22/04</t>
        </is>
      </c>
    </row>
    <row r="9">
      <c r="A9" s="16" t="inlineStr">
        <is>
          <t>Q-06</t>
        </is>
      </c>
      <c r="B9" s="27" t="n">
        <v>46182</v>
      </c>
      <c r="C9" s="31" t="inlineStr">
        <is>
          <t>Sala de treinamento indisponível nas datas planejadas de setembro</t>
        </is>
      </c>
      <c r="D9" s="28" t="inlineStr">
        <is>
          <t>1.6</t>
        </is>
      </c>
      <c r="E9" s="28" t="inlineStr">
        <is>
          <t>🟢 Baixa</t>
        </is>
      </c>
      <c r="F9" s="28" t="inlineStr">
        <is>
          <t>Fernanda Costa</t>
        </is>
      </c>
      <c r="G9" s="27" t="n">
        <v>46218</v>
      </c>
      <c r="H9" s="28" t="inlineStr">
        <is>
          <t>Aberta</t>
        </is>
      </c>
      <c r="I9" s="28">
        <f>IF(B9="","",IF(H9="Resolvida","—",TODAY()-B9))</f>
        <v/>
      </c>
      <c r="J9" s="28">
        <f>IF(OR(G9="",H9="Resolvida"),"",IF(TODAY()&gt;G9,"🔴",IF(G9-TODAY()&lt;=5,"🟡","🟢")))</f>
        <v/>
      </c>
      <c r="K9" s="31" t="inlineStr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28">
        <f>IF(B10="","",IF(H10="Resolvida","—",TODAY()-B10))</f>
        <v/>
      </c>
      <c r="J10" s="28">
        <f>IF(OR(G10="",H10="Resolvida"),"",IF(TODAY()&gt;G10,"🔴",IF(G10-TODAY()&lt;=5,"🟡","🟢")))</f>
        <v/>
      </c>
      <c r="K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28">
        <f>IF(B11="","",IF(H11="Resolvida","—",TODAY()-B11))</f>
        <v/>
      </c>
      <c r="J11" s="28">
        <f>IF(OR(G11="",H11="Resolvida"),"",IF(TODAY()&gt;G11,"🔴",IF(G11-TODAY()&lt;=5,"🟡","🟢")))</f>
        <v/>
      </c>
      <c r="K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28">
        <f>IF(B12="","",IF(H12="Resolvida","—",TODAY()-B12))</f>
        <v/>
      </c>
      <c r="J12" s="28">
        <f>IF(OR(G12="",H12="Resolvida"),"",IF(TODAY()&gt;G12,"🔴",IF(G12-TODAY()&lt;=5,"🟡","🟢")))</f>
        <v/>
      </c>
      <c r="K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28">
        <f>IF(B13="","",IF(H13="Resolvida","—",TODAY()-B13))</f>
        <v/>
      </c>
      <c r="J13" s="28">
        <f>IF(OR(G13="",H13="Resolvida"),"",IF(TODAY()&gt;G13,"🔴",IF(G13-TODAY()&lt;=5,"🟡","🟢")))</f>
        <v/>
      </c>
      <c r="K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28">
        <f>IF(B14="","",IF(H14="Resolvida","—",TODAY()-B14))</f>
        <v/>
      </c>
      <c r="J14" s="28">
        <f>IF(OR(G14="",H14="Resolvida"),"",IF(TODAY()&gt;G14,"🔴",IF(G14-TODAY()&lt;=5,"🟡","🟢")))</f>
        <v/>
      </c>
      <c r="K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28">
        <f>IF(B15="","",IF(H15="Resolvida","—",TODAY()-B15))</f>
        <v/>
      </c>
      <c r="J15" s="28">
        <f>IF(OR(G15="",H15="Resolvida"),"",IF(TODAY()&gt;G15,"🔴",IF(G15-TODAY()&lt;=5,"🟡","🟢")))</f>
        <v/>
      </c>
      <c r="K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28">
        <f>IF(B16="","",IF(H16="Resolvida","—",TODAY()-B16))</f>
        <v/>
      </c>
      <c r="J16" s="28">
        <f>IF(OR(G16="",H16="Resolvida"),"",IF(TODAY()&gt;G16,"🔴",IF(G16-TODAY()&lt;=5,"🟡","🟢")))</f>
        <v/>
      </c>
      <c r="K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28">
        <f>IF(B17="","",IF(H17="Resolvida","—",TODAY()-B17))</f>
        <v/>
      </c>
      <c r="J17" s="28">
        <f>IF(OR(G17="",H17="Resolvida"),"",IF(TODAY()&gt;G17,"🔴",IF(G17-TODAY()&lt;=5,"🟡","🟢")))</f>
        <v/>
      </c>
      <c r="K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28">
        <f>IF(B18="","",IF(H18="Resolvida","—",TODAY()-B18))</f>
        <v/>
      </c>
      <c r="J18" s="28">
        <f>IF(OR(G18="",H18="Resolvida"),"",IF(TODAY()&gt;G18,"🔴",IF(G18-TODAY()&lt;=5,"🟡","🟢")))</f>
        <v/>
      </c>
      <c r="K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28">
        <f>IF(B19="","",IF(H19="Resolvida","—",TODAY()-B19))</f>
        <v/>
      </c>
      <c r="J19" s="28">
        <f>IF(OR(G19="",H19="Resolvida"),"",IF(TODAY()&gt;G19,"🔴",IF(G19-TODAY()&lt;=5,"🟡","🟢")))</f>
        <v/>
      </c>
      <c r="K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28">
        <f>IF(B20="","",IF(H20="Resolvida","—",TODAY()-B20))</f>
        <v/>
      </c>
      <c r="J20" s="28">
        <f>IF(OR(G20="",H20="Resolvida"),"",IF(TODAY()&gt;G20,"🔴",IF(G20-TODAY()&lt;=5,"🟡","🟢")))</f>
        <v/>
      </c>
      <c r="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28">
        <f>IF(B21="","",IF(H21="Resolvida","—",TODAY()-B21))</f>
        <v/>
      </c>
      <c r="J21" s="28">
        <f>IF(OR(G21="",H21="Resolvida"),"",IF(TODAY()&gt;G21,"🔴",IF(G21-TODAY()&lt;=5,"🟡","🟢")))</f>
        <v/>
      </c>
      <c r="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28">
        <f>IF(B22="","",IF(H22="Resolvida","—",TODAY()-B22))</f>
        <v/>
      </c>
      <c r="J22" s="28">
        <f>IF(OR(G22="",H22="Resolvida"),"",IF(TODAY()&gt;G22,"🔴",IF(G22-TODAY()&lt;=5,"🟡","🟢")))</f>
        <v/>
      </c>
      <c r="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28">
        <f>IF(B23="","",IF(H23="Resolvida","—",TODAY()-B23))</f>
        <v/>
      </c>
      <c r="J23" s="28">
        <f>IF(OR(G23="",H23="Resolvida"),"",IF(TODAY()&gt;G23,"🔴",IF(G23-TODAY()&lt;=5,"🟡","🟢")))</f>
        <v/>
      </c>
      <c r="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28">
        <f>IF(B24="","",IF(H24="Resolvida","—",TODAY()-B24))</f>
        <v/>
      </c>
      <c r="J24" s="28">
        <f>IF(OR(G24="",H24="Resolvida"),"",IF(TODAY()&gt;G24,"🔴",IF(G24-TODAY()&lt;=5,"🟡","🟢")))</f>
        <v/>
      </c>
      <c r="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28">
        <f>IF(B25="","",IF(H25="Resolvida","—",TODAY()-B25))</f>
        <v/>
      </c>
      <c r="J25" s="28">
        <f>IF(OR(G25="",H25="Resolvida"),"",IF(TODAY()&gt;G25,"🔴",IF(G25-TODAY()&lt;=5,"🟡","🟢")))</f>
        <v/>
      </c>
      <c r="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28">
        <f>IF(B26="","",IF(H26="Resolvida","—",TODAY()-B26))</f>
        <v/>
      </c>
      <c r="J26" s="28">
        <f>IF(OR(G26="",H26="Resolvida"),"",IF(TODAY()&gt;G26,"🔴",IF(G26-TODAY()&lt;=5,"🟡","🟢")))</f>
        <v/>
      </c>
      <c r="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28">
        <f>IF(B27="","",IF(H27="Resolvida","—",TODAY()-B27))</f>
        <v/>
      </c>
      <c r="J27" s="28">
        <f>IF(OR(G27="",H27="Resolvida"),"",IF(TODAY()&gt;G27,"🔴",IF(G27-TODAY()&lt;=5,"🟡","🟢")))</f>
        <v/>
      </c>
      <c r="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28">
        <f>IF(B28="","",IF(H28="Resolvida","—",TODAY()-B28))</f>
        <v/>
      </c>
      <c r="J28" s="28">
        <f>IF(OR(G28="",H28="Resolvida"),"",IF(TODAY()&gt;G28,"🔴",IF(G28-TODAY()&lt;=5,"🟡","🟢")))</f>
        <v/>
      </c>
      <c r="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28">
        <f>IF(B29="","",IF(H29="Resolvida","—",TODAY()-B29))</f>
        <v/>
      </c>
      <c r="J29" s="28">
        <f>IF(OR(G29="",H29="Resolvida"),"",IF(TODAY()&gt;G29,"🔴",IF(G29-TODAY()&lt;=5,"🟡","🟢")))</f>
        <v/>
      </c>
      <c r="K29" s="13" t="n"/>
    </row>
  </sheetData>
  <autoFilter ref="A3:K9"/>
  <mergeCells count="1">
    <mergeCell ref="A1:K1"/>
  </mergeCells>
  <conditionalFormatting sqref="H4:H29">
    <cfRule type="expression" priority="1" dxfId="2" stopIfTrue="1">
      <formula>NOT(ISERROR(SEARCH("Resolvida",H4)))</formula>
    </cfRule>
    <cfRule type="expression" priority="2" dxfId="0" stopIfTrue="1">
      <formula>NOT(ISERROR(SEARCH("Escalada",H4)))</formula>
    </cfRule>
    <cfRule type="expression" priority="3" dxfId="1" stopIfTrue="1">
      <formula>NOT(ISERROR(SEARCH("Em Tratamento",H4)))</formula>
    </cfRule>
  </conditionalFormatting>
  <dataValidations count="2">
    <dataValidation sqref="E4:E29" showDropDown="0" showInputMessage="0" showErrorMessage="1" allowBlank="1" errorTitle="Valor inválido" error="Selecione um valor da lista suspensa." type="list">
      <formula1>=ListaPrioridade</formula1>
    </dataValidation>
    <dataValidation sqref="H4:H29" showDropDown="0" showInputMessage="0" showErrorMessage="1" allowBlank="1" errorTitle="Valor inválido" error="Selecione um valor da lista suspensa." type="list">
      <formula1>=ListaStatusQuestao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5" customWidth="1" min="3" max="3"/>
    <col width="14" customWidth="1" min="4" max="4"/>
    <col width="40" customWidth="1" min="5" max="5"/>
    <col width="40" customWidth="1" min="6" max="6"/>
    <col width="40" customWidth="1" min="7" max="7"/>
    <col width="11" customWidth="1" min="8" max="8"/>
    <col width="16" customWidth="1" min="9" max="9"/>
  </cols>
  <sheetData>
    <row r="1" ht="30" customHeight="1">
      <c r="A1" s="29" t="inlineStr">
        <is>
          <t>LIÇÕES APRENDIDAS — REGISTRE DURANTE O PROJETO, NÃO SÓ NO FIM</t>
        </is>
      </c>
    </row>
    <row r="3" ht="30" customHeight="1">
      <c r="A3" s="37" t="inlineStr">
        <is>
          <t>ID</t>
        </is>
      </c>
      <c r="B3" s="37" t="inlineStr">
        <is>
          <t>Data</t>
        </is>
      </c>
      <c r="C3" s="37" t="inlineStr">
        <is>
          <t>Fase</t>
        </is>
      </c>
      <c r="D3" s="37" t="inlineStr">
        <is>
          <t>Categoria</t>
        </is>
      </c>
      <c r="E3" s="37" t="inlineStr">
        <is>
          <t>O que aconteceu</t>
        </is>
      </c>
      <c r="F3" s="37" t="inlineStr">
        <is>
          <t>O que funcionou / não funcionou</t>
        </is>
      </c>
      <c r="G3" s="37" t="inlineStr">
        <is>
          <t>Recomendação para projetos futuros</t>
        </is>
      </c>
      <c r="H3" s="37" t="inlineStr">
        <is>
          <t>Impacto</t>
        </is>
      </c>
      <c r="I3" s="37" t="inlineStr">
        <is>
          <t>Autor</t>
        </is>
      </c>
    </row>
    <row r="4">
      <c r="A4" s="28" t="inlineStr">
        <is>
          <t>LA-01</t>
        </is>
      </c>
      <c r="B4" s="27" t="n">
        <v>46127</v>
      </c>
      <c r="C4" s="28" t="inlineStr">
        <is>
          <t>Planejamento</t>
        </is>
      </c>
      <c r="D4" s="28" t="inlineStr">
        <is>
          <t>Pessoas</t>
        </is>
      </c>
      <c r="E4" s="31" t="inlineStr">
        <is>
          <t>Workshops de levantamento com todas as áreas juntas geravam dispersão</t>
        </is>
      </c>
      <c r="F4" s="31" t="inlineStr">
        <is>
          <t>Sessões separadas por área, com pauta fechada, foram 2× mais produtivas</t>
        </is>
      </c>
      <c r="G4" s="31" t="inlineStr">
        <is>
          <t>Planejar workshops por área desde o início, com no máximo 8 participantes</t>
        </is>
      </c>
      <c r="H4" s="28" t="inlineStr">
        <is>
          <t>🟢 Positivo</t>
        </is>
      </c>
      <c r="I4" s="28" t="inlineStr">
        <is>
          <t>Fernanda Costa</t>
        </is>
      </c>
    </row>
    <row r="5">
      <c r="A5" s="28" t="inlineStr">
        <is>
          <t>LA-02</t>
        </is>
      </c>
      <c r="B5" s="27" t="n">
        <v>46152</v>
      </c>
      <c r="C5" s="28" t="inlineStr">
        <is>
          <t>Execução</t>
        </is>
      </c>
      <c r="D5" s="28" t="inlineStr">
        <is>
          <t>Fornecedores</t>
        </is>
      </c>
      <c r="E5" s="31" t="inlineStr">
        <is>
          <t>Contrato sem critério objetivo de 'entrega aceita' gerou disputa no 1º pagamento</t>
        </is>
      </c>
      <c r="F5" s="31" t="inlineStr">
        <is>
          <t>Não funcionou: aceite implícito. Funcionou: addendum com checklist de aceitação</t>
        </is>
      </c>
      <c r="G5" s="31" t="inlineStr">
        <is>
          <t>Definir critérios de aceitação mensuráveis em contrato, antes da assinatura</t>
        </is>
      </c>
      <c r="H5" s="28" t="inlineStr">
        <is>
          <t>🔴 Negativo</t>
        </is>
      </c>
      <c r="I5" s="28" t="inlineStr">
        <is>
          <t>Ana B. Souza</t>
        </is>
      </c>
    </row>
    <row r="6">
      <c r="A6" s="28" t="inlineStr">
        <is>
          <t>LA-03</t>
        </is>
      </c>
      <c r="B6" s="27" t="n">
        <v>46170</v>
      </c>
      <c r="C6" s="28" t="inlineStr">
        <is>
          <t>Execução</t>
        </is>
      </c>
      <c r="D6" s="28" t="inlineStr">
        <is>
          <t>Tecnologia</t>
        </is>
      </c>
      <c r="E6" s="31" t="inlineStr">
        <is>
          <t>Carga de teste antecipada revelou problemas de dados 3 meses antes do previsto</t>
        </is>
      </c>
      <c r="F6" s="31" t="inlineStr">
        <is>
          <t>Antecipar a 1ª carga de teste deu tempo hábil para corrigir a qualidade dos dados</t>
        </is>
      </c>
      <c r="G6" s="31" t="inlineStr">
        <is>
          <t>Sempre executar uma carga de dados exploratória na primeira metade do projeto</t>
        </is>
      </c>
      <c r="H6" s="28" t="inlineStr">
        <is>
          <t>🟢 Positivo</t>
        </is>
      </c>
      <c r="I6" s="28" t="inlineStr">
        <is>
          <t>Roberto Lima</t>
        </is>
      </c>
    </row>
    <row r="7">
      <c r="A7" s="28" t="inlineStr">
        <is>
          <t>LA-04</t>
        </is>
      </c>
      <c r="B7" s="27" t="n">
        <v>46178</v>
      </c>
      <c r="C7" s="28" t="inlineStr">
        <is>
          <t>Execução</t>
        </is>
      </c>
      <c r="D7" s="28" t="inlineStr">
        <is>
          <t>Comunicação</t>
        </is>
      </c>
      <c r="E7" s="31" t="inlineStr">
        <is>
          <t>Boletim quinzenal por e-mail tinha baixa leitura (18%)</t>
        </is>
      </c>
      <c r="F7" s="31" t="inlineStr">
        <is>
          <t>Mural na intranet + 5 min nas reuniões de equipe das áreas funcionou melhor</t>
        </is>
      </c>
      <c r="G7" s="31" t="inlineStr">
        <is>
          <t>Validar o canal de comunicação com uma amostra de usuários antes de padronizar</t>
        </is>
      </c>
      <c r="H7" s="28" t="inlineStr">
        <is>
          <t>🟡 Neutro</t>
        </is>
      </c>
      <c r="I7" s="28" t="inlineStr">
        <is>
          <t>Fernanda Costa</t>
        </is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</row>
  </sheetData>
  <autoFilter ref="A3:I7"/>
  <mergeCells count="1">
    <mergeCell ref="A1:I1"/>
  </mergeCells>
  <dataValidations count="2">
    <dataValidation sqref="C4:C22" showDropDown="0" showInputMessage="0" showErrorMessage="1" allowBlank="1" errorTitle="Valor inválido" error="Selecione um valor da lista suspensa." type="list">
      <formula1>=ListaFase</formula1>
    </dataValidation>
    <dataValidation sqref="D4:D22" showDropDown="0" showInputMessage="0" showErrorMessage="1" allowBlank="1" errorTitle="Valor inválido" error="Selecione um valor da lista suspensa." type="list">
      <formula1>=ListaCatLicao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0" customWidth="1" min="3" max="3"/>
  </cols>
  <sheetData>
    <row r="2" ht="36" customHeight="1">
      <c r="B2" s="61" t="inlineStr">
        <is>
          <t>PLANILHA DE GERENCIAMENTO DE PROJETOS — PMI / PMBOK</t>
        </is>
      </c>
    </row>
    <row r="4">
      <c r="B4" s="12" t="inlineStr">
        <is>
          <t>ABA</t>
        </is>
      </c>
      <c r="C4" s="12" t="inlineStr">
        <is>
          <t>COMO USAR</t>
        </is>
      </c>
    </row>
    <row r="5" ht="34" customHeight="1">
      <c r="B5" s="38" t="inlineStr">
        <is>
          <t>Dashboard</t>
        </is>
      </c>
      <c r="C5" s="31" t="inlineStr">
        <is>
          <t>Visão executiva automática: saúde do projeto, SPI/CPI, avanço físico, riscos, questões e Curva S. NADA é digitado aqui — tudo é calculado das demais abas.</t>
        </is>
      </c>
    </row>
    <row r="6" ht="34" customHeight="1">
      <c r="B6" s="38" t="inlineStr">
        <is>
          <t>TAP</t>
        </is>
      </c>
      <c r="C6" s="31" t="inlineStr">
        <is>
          <t>Termo de Abertura do Projeto (Project Charter). Preencha no início: objetivo, escopo, premissas, restrições, marcos e orçamento. As datas e o nome do projeto alimentam o Dashboard.</t>
        </is>
      </c>
    </row>
    <row r="7" ht="34" customHeight="1">
      <c r="B7" s="38" t="inlineStr">
        <is>
          <t>EAP</t>
        </is>
      </c>
      <c r="C7" s="31" t="inlineStr">
        <is>
          <t>Estrutura Analítica do Projeto (WBS). Decomponha as entregas usando códigos hierárquicos (1, 1.1, 1.1.1...). Use os mesmos códigos no Cronograma e no EVM.</t>
        </is>
      </c>
    </row>
    <row r="8" ht="34" customHeight="1">
      <c r="B8" s="38" t="inlineStr">
        <is>
          <t>Cronograma</t>
        </is>
      </c>
      <c r="C8" s="31" t="inlineStr">
        <is>
          <t>Plano de trabalho com Gantt automático: informe Início, Término e % Concluído — a Duração, o Status (Atrasada/Em Andamento/Concluída) e as barras do Gantt são calculados sozinhos. A semana atual fica destacada no cabeçalho.</t>
        </is>
      </c>
    </row>
    <row r="9" ht="34" customHeight="1">
      <c r="B9" s="38" t="inlineStr">
        <is>
          <t>EVM</t>
        </is>
      </c>
      <c r="C9" s="31" t="inlineStr">
        <is>
          <t>Gerenciamento de Valor Agregado: informe o orçamento (BAC), o % real e o custo real (AC) de cada pacote — PV, EV, SV, CV, SPI, CPI, EAC, ETC, VAC e TCPI são calculados automaticamente.</t>
        </is>
      </c>
    </row>
    <row r="10" ht="34" customHeight="1">
      <c r="B10" s="38" t="inlineStr">
        <is>
          <t>Riscos</t>
        </is>
      </c>
      <c r="C10" s="31" t="inlineStr">
        <is>
          <t>Registro de riscos: avalie Probabilidade × Impacto (1 a 5) e a planilha calcula o score, o nível (Baixo→Crítico) e atualiza a Matriz de Riscos 5×5 ao lado.</t>
        </is>
      </c>
    </row>
    <row r="11" ht="34" customHeight="1">
      <c r="B11" s="38" t="inlineStr">
        <is>
          <t>Stakeholders</t>
        </is>
      </c>
      <c r="C11" s="31" t="inlineStr">
        <is>
          <t>Registro de partes interessadas: classifique Poder × Interesse (1 a 5) e a estratégia de engajamento (Gerenciar de Perto, Manter Satisfeito...) é sugerida automaticamente.</t>
        </is>
      </c>
    </row>
    <row r="12" ht="34" customHeight="1">
      <c r="B12" s="38" t="inlineStr">
        <is>
          <t>Mudanças</t>
        </is>
      </c>
      <c r="C12" s="31" t="inlineStr">
        <is>
          <t>Log de solicitações de mudança com impacto em escopo, prazo e custo, e fluxo de aprovação.</t>
        </is>
      </c>
    </row>
    <row r="13" ht="34" customHeight="1">
      <c r="B13" s="38" t="inlineStr">
        <is>
          <t>Questões</t>
        </is>
      </c>
      <c r="C13" s="31" t="inlineStr">
        <is>
          <t>Issue log: pendências e impedimentos do dia a dia, com cálculo automático de dias em aberto e alerta visual para itens estourados.</t>
        </is>
      </c>
    </row>
    <row r="14" ht="34" customHeight="1">
      <c r="B14" s="38" t="inlineStr">
        <is>
          <t>Lições</t>
        </is>
      </c>
      <c r="C14" s="31" t="inlineStr">
        <is>
          <t>Lições aprendidas, registradas durante o projeto (não só no fim!), por fase e categoria.</t>
        </is>
      </c>
    </row>
    <row r="16">
      <c r="B16" s="12" t="inlineStr">
        <is>
          <t>LEGENDA DE SAÚDE</t>
        </is>
      </c>
      <c r="C16" s="53" t="n"/>
    </row>
    <row r="17">
      <c r="B17" s="16" t="inlineStr">
        <is>
          <t>🟢 NO RUMO</t>
        </is>
      </c>
      <c r="C17" s="31" t="inlineStr">
        <is>
          <t>SPI e CPI ≥ 0,95 — projeto dentro do prazo e do orçamento.</t>
        </is>
      </c>
    </row>
    <row r="18">
      <c r="B18" s="16" t="inlineStr">
        <is>
          <t>🟡 ATENÇÃO</t>
        </is>
      </c>
      <c r="C18" s="31" t="inlineStr">
        <is>
          <t>SPI ou CPI entre 0,85 e 0,95 — desvios moderados, agir preventivamente.</t>
        </is>
      </c>
    </row>
    <row r="19">
      <c r="B19" s="16" t="inlineStr">
        <is>
          <t>🔴 CRÍTICO</t>
        </is>
      </c>
      <c r="C19" s="31" t="inlineStr">
        <is>
          <t>SPI ou CPI &lt; 0,85 — desvio relevante, exige plano de recuperação.</t>
        </is>
      </c>
    </row>
  </sheetData>
  <mergeCells count="2">
    <mergeCell ref="B16:C16"/>
    <mergeCell ref="B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62" t="inlineStr">
        <is>
          <t>ListaStatus</t>
        </is>
      </c>
      <c r="B1" s="62" t="inlineStr">
        <is>
          <t>ListaPrioridade</t>
        </is>
      </c>
      <c r="C1" s="62" t="inlineStr">
        <is>
          <t>ListaSimNao</t>
        </is>
      </c>
      <c r="D1" s="62" t="inlineStr">
        <is>
          <t>ListaCatRisco</t>
        </is>
      </c>
      <c r="E1" s="62" t="inlineStr">
        <is>
          <t>ListaEstrategia</t>
        </is>
      </c>
      <c r="F1" s="62" t="inlineStr">
        <is>
          <t>ListaStatusRisco</t>
        </is>
      </c>
      <c r="G1" s="62" t="inlineStr">
        <is>
          <t>ListaStatusMudanca</t>
        </is>
      </c>
      <c r="H1" s="62" t="inlineStr">
        <is>
          <t>ListaStatusQuestao</t>
        </is>
      </c>
      <c r="I1" s="62" t="inlineStr">
        <is>
          <t>ListaEngajamento</t>
        </is>
      </c>
      <c r="J1" s="62" t="inlineStr">
        <is>
          <t>ListaFase</t>
        </is>
      </c>
      <c r="K1" s="62" t="inlineStr">
        <is>
          <t>ListaCatLicao</t>
        </is>
      </c>
      <c r="L1" s="62" t="inlineStr">
        <is>
          <t>Lista15</t>
        </is>
      </c>
    </row>
    <row r="2">
      <c r="A2" t="inlineStr">
        <is>
          <t>⚪ Não Iniciada</t>
        </is>
      </c>
      <c r="B2" t="inlineStr">
        <is>
          <t>🔴 Alta</t>
        </is>
      </c>
      <c r="C2" t="inlineStr">
        <is>
          <t>Sim</t>
        </is>
      </c>
      <c r="D2" t="inlineStr">
        <is>
          <t>Técnico</t>
        </is>
      </c>
      <c r="E2" t="inlineStr">
        <is>
          <t>Mitigar</t>
        </is>
      </c>
      <c r="F2" t="inlineStr">
        <is>
          <t>Aberto</t>
        </is>
      </c>
      <c r="G2" t="inlineStr">
        <is>
          <t>Em Análise</t>
        </is>
      </c>
      <c r="H2" t="inlineStr">
        <is>
          <t>Aberta</t>
        </is>
      </c>
      <c r="I2" t="inlineStr">
        <is>
          <t>Desinformado</t>
        </is>
      </c>
      <c r="J2" t="inlineStr">
        <is>
          <t>Iniciação</t>
        </is>
      </c>
      <c r="K2" t="inlineStr">
        <is>
          <t>Processo</t>
        </is>
      </c>
      <c r="L2" t="n">
        <v>1</v>
      </c>
    </row>
    <row r="3">
      <c r="A3" t="inlineStr">
        <is>
          <t>🟡 Em Andamento</t>
        </is>
      </c>
      <c r="B3" t="inlineStr">
        <is>
          <t>🟡 Média</t>
        </is>
      </c>
      <c r="C3" t="inlineStr">
        <is>
          <t>Não</t>
        </is>
      </c>
      <c r="D3" t="inlineStr">
        <is>
          <t>Externo</t>
        </is>
      </c>
      <c r="E3" t="inlineStr">
        <is>
          <t>Transferir</t>
        </is>
      </c>
      <c r="F3" t="inlineStr">
        <is>
          <t>Em Tratamento</t>
        </is>
      </c>
      <c r="G3" t="inlineStr">
        <is>
          <t>Aprovada</t>
        </is>
      </c>
      <c r="H3" t="inlineStr">
        <is>
          <t>Em Tratamento</t>
        </is>
      </c>
      <c r="I3" t="inlineStr">
        <is>
          <t>Resistente</t>
        </is>
      </c>
      <c r="J3" t="inlineStr">
        <is>
          <t>Planejamento</t>
        </is>
      </c>
      <c r="K3" t="inlineStr">
        <is>
          <t>Pessoas</t>
        </is>
      </c>
      <c r="L3" t="n">
        <v>2</v>
      </c>
    </row>
    <row r="4">
      <c r="A4" t="inlineStr">
        <is>
          <t>✅ Concluída</t>
        </is>
      </c>
      <c r="B4" t="inlineStr">
        <is>
          <t>🟢 Baixa</t>
        </is>
      </c>
      <c r="D4" t="inlineStr">
        <is>
          <t>Organizacional</t>
        </is>
      </c>
      <c r="E4" t="inlineStr">
        <is>
          <t>Aceitar</t>
        </is>
      </c>
      <c r="F4" t="inlineStr">
        <is>
          <t>Materializado</t>
        </is>
      </c>
      <c r="G4" t="inlineStr">
        <is>
          <t>Rejeitada</t>
        </is>
      </c>
      <c r="H4" t="inlineStr">
        <is>
          <t>Resolvida</t>
        </is>
      </c>
      <c r="I4" t="inlineStr">
        <is>
          <t>Neutro</t>
        </is>
      </c>
      <c r="J4" t="inlineStr">
        <is>
          <t>Execução</t>
        </is>
      </c>
      <c r="K4" t="inlineStr">
        <is>
          <t>Tecnologia</t>
        </is>
      </c>
      <c r="L4" t="n">
        <v>3</v>
      </c>
    </row>
    <row r="5">
      <c r="A5" t="inlineStr">
        <is>
          <t>🔴 Atrasada</t>
        </is>
      </c>
      <c r="D5" t="inlineStr">
        <is>
          <t>Gerenciamento</t>
        </is>
      </c>
      <c r="E5" t="inlineStr">
        <is>
          <t>Eliminar</t>
        </is>
      </c>
      <c r="F5" t="inlineStr">
        <is>
          <t>Encerrado</t>
        </is>
      </c>
      <c r="G5" t="inlineStr">
        <is>
          <t>Adiada</t>
        </is>
      </c>
      <c r="H5" t="inlineStr">
        <is>
          <t>Escalada</t>
        </is>
      </c>
      <c r="I5" t="inlineStr">
        <is>
          <t>Apoiador</t>
        </is>
      </c>
      <c r="J5" t="inlineStr">
        <is>
          <t>Monitoramento</t>
        </is>
      </c>
      <c r="K5" t="inlineStr">
        <is>
          <t>Fornecedores</t>
        </is>
      </c>
      <c r="L5" t="n">
        <v>4</v>
      </c>
    </row>
    <row r="6">
      <c r="A6" t="inlineStr">
        <is>
          <t>⏸ Suspensa</t>
        </is>
      </c>
      <c r="D6" t="inlineStr">
        <is>
          <t>Comercial</t>
        </is>
      </c>
      <c r="E6" t="inlineStr">
        <is>
          <t>Explorar</t>
        </is>
      </c>
      <c r="G6" t="inlineStr">
        <is>
          <t>Implementada</t>
        </is>
      </c>
      <c r="I6" t="inlineStr">
        <is>
          <t>Líder</t>
        </is>
      </c>
      <c r="J6" t="inlineStr">
        <is>
          <t>Encerramento</t>
        </is>
      </c>
      <c r="K6" t="inlineStr">
        <is>
          <t>Comunicação</t>
        </is>
      </c>
      <c r="L6" t="n">
        <v>5</v>
      </c>
    </row>
    <row r="7">
      <c r="D7" t="inlineStr">
        <is>
          <t>Regulatório</t>
        </is>
      </c>
      <c r="E7" t="inlineStr">
        <is>
          <t>Compartilhar</t>
        </is>
      </c>
      <c r="K7" t="inlineStr">
        <is>
          <t>Riscos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2026-06-13T01:21:33Z</dcterms:created>
  <dcterms:modified xsi:type="dcterms:W3CDTF">2026-06-13T01:21:33Z</dcterms:modified>
</cp:coreProperties>
</file>