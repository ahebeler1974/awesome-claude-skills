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" autoFilterDateGrouping="1"/>
  </bookViews>
  <sheets>
    <sheet name="_Config" sheetId="1" state="hidden" r:id="rId1"/>
    <sheet name="1. Insumos" sheetId="2" state="visible" r:id="rId2"/>
    <sheet name="2. Ficha Técnica" sheetId="3" state="visible" r:id="rId3"/>
    <sheet name="3. Custos &amp; Mão de Obra" sheetId="4" state="visible" r:id="rId4"/>
    <sheet name="4. Precificação" sheetId="5" state="visible" r:id="rId5"/>
    <sheet name="5. Painel Visual" sheetId="6" state="visible" r:id="rId6"/>
  </sheets>
  <definedNames>
    <definedName name="lista_categorias">_Config!$A$2:$A$4</definedName>
    <definedName name="lista_unidades">_Config!$C$2:$C$6</definedName>
    <definedName name="lista_tipos">_Config!$E$2:$E$4</definedName>
    <definedName name="tab_conversao">_Config!$G$2:$H$6</definedName>
    <definedName name="tab_insumos">'1. Insumos'!$A$4:$G$203</definedName>
    <definedName name="lista_insumos">'1. Insumos'!$A$4:$A$203</definedName>
    <definedName name="custo_ingredientes">'2. Ficha Técnica'!$D$37</definedName>
    <definedName name="receita_nome">'2. Ficha Técnica'!$B$3</definedName>
    <definedName name="receita_tipo">'2. Ficha Técnica'!$B$4</definedName>
    <definedName name="valor_min_mo">'3. Custos &amp; Mão de Obra'!$C$10</definedName>
    <definedName name="custo_min_forno">'3. Custos &amp; Mão de Obra'!$C$16</definedName>
    <definedName name="custo_min_estrutura">'3. Custos &amp; Mão de Obra'!$C$25</definedName>
    <definedName name="rendimento">'4. Precificação'!$C$6</definedName>
    <definedName name="tempo_producao">'4. Precificação'!$C$7</definedName>
    <definedName name="tempo_forno">'4. Precificação'!$C$8</definedName>
    <definedName name="emb_unit">'4. Precificação'!$C$15</definedName>
    <definedName name="custo_unit">'4. Precificação'!$C$24</definedName>
    <definedName name="margem">'4. Precificação'!$C$27</definedName>
    <definedName name="margem_minima">'4. Precificação'!$C$28</definedName>
    <definedName name="preco_min">'4. Precificação'!$C$29</definedName>
    <definedName name="preco_ref">'4. Precificação'!$D$35</definedName>
    <definedName name="taxa_ref">'4. Precificação'!$B$35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20">
    <font>
      <name val="Calibri"/>
      <family val="2"/>
      <color theme="1"/>
      <sz val="11"/>
      <scheme val="minor"/>
    </font>
    <font>
      <name val="Calibri"/>
      <b val="1"/>
      <color rgb="003A3A38"/>
      <sz val="10"/>
    </font>
    <font>
      <name val="Calibri"/>
      <color rgb="003A3A38"/>
      <sz val="11"/>
    </font>
    <font>
      <name val="Calibri"/>
      <b val="1"/>
      <color rgb="00FFFFFF"/>
      <sz val="18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i val="1"/>
      <color rgb="00A9613F"/>
      <sz val="11"/>
    </font>
    <font>
      <name val="Calibri"/>
      <b val="1"/>
      <color rgb="003A3A38"/>
      <sz val="11"/>
    </font>
    <font>
      <name val="Calibri"/>
      <b val="1"/>
      <color rgb="00A9613F"/>
      <sz val="11"/>
    </font>
    <font>
      <name val="Calibri"/>
      <i val="1"/>
      <color rgb="003A3A38"/>
      <sz val="9"/>
    </font>
    <font>
      <name val="Calibri"/>
      <i val="1"/>
      <color rgb="008A9A7B"/>
      <sz val="11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i val="1"/>
      <color rgb="00A9613F"/>
      <sz val="11"/>
    </font>
    <font>
      <name val="Calibri"/>
      <b val="1"/>
      <i val="1"/>
      <color rgb="003A3A38"/>
      <sz val="11"/>
    </font>
    <font>
      <name val="Calibri"/>
      <b val="1"/>
      <color rgb="00FFFFFF"/>
      <sz val="13"/>
    </font>
    <font>
      <name val="Calibri"/>
      <b val="1"/>
      <color rgb="003A3A38"/>
      <sz val="13"/>
    </font>
    <font>
      <name val="Calibri"/>
      <i val="1"/>
      <color rgb="003A3A38"/>
      <sz val="11"/>
    </font>
    <font>
      <name val="Calibri"/>
      <b val="1"/>
      <color rgb="003A3A38"/>
      <sz val="12"/>
    </font>
    <font>
      <name val="Calibri"/>
      <color rgb="003A3A38"/>
      <sz val="10"/>
    </font>
  </fonts>
  <fills count="10">
    <fill>
      <patternFill/>
    </fill>
    <fill>
      <patternFill patternType="gray125"/>
    </fill>
    <fill>
      <patternFill patternType="solid">
        <fgColor rgb="003A3A38"/>
      </patternFill>
    </fill>
    <fill>
      <patternFill patternType="solid">
        <fgColor rgb="00C98A6B"/>
      </patternFill>
    </fill>
    <fill>
      <patternFill patternType="solid">
        <fgColor rgb="00FFFFFF"/>
      </patternFill>
    </fill>
    <fill>
      <patternFill patternType="solid">
        <fgColor rgb="00F1EBE3"/>
      </patternFill>
    </fill>
    <fill>
      <patternFill patternType="solid">
        <fgColor rgb="00EFEDE8"/>
      </patternFill>
    </fill>
    <fill>
      <patternFill patternType="solid">
        <fgColor rgb="00EDF0EA"/>
      </patternFill>
    </fill>
    <fill>
      <patternFill patternType="solid">
        <fgColor rgb="00A9613F"/>
      </patternFill>
    </fill>
    <fill>
      <patternFill patternType="solid">
        <fgColor rgb="00DCE6D4"/>
      </patternFill>
    </fill>
  </fills>
  <borders count="8">
    <border>
      <left/>
      <right/>
      <top/>
      <bottom/>
      <diagonal/>
    </border>
    <border/>
    <border>
      <right/>
      <bottom/>
    </border>
    <border>
      <left style="thin">
        <color rgb="00D9D5CD"/>
      </left>
      <right style="thin">
        <color rgb="00D9D5CD"/>
      </right>
      <top style="thin">
        <color rgb="00D9D5CD"/>
      </top>
      <bottom style="thin">
        <color rgb="00D9D5CD"/>
      </bottom>
    </border>
    <border>
      <left/>
      <right/>
      <top style="thin">
        <color rgb="00D9D5CD"/>
      </top>
      <bottom/>
      <diagonal/>
    </border>
    <border>
      <left/>
      <right style="thin">
        <color rgb="00D9D5CD"/>
      </right>
      <top style="thin">
        <color rgb="00D9D5CD"/>
      </top>
      <bottom/>
      <diagonal/>
    </border>
    <border>
      <left/>
      <right/>
      <top style="thin">
        <color rgb="00D9D5CD"/>
      </top>
      <bottom style="thin">
        <color rgb="00D9D5CD"/>
      </bottom>
      <diagonal/>
    </border>
    <border>
      <left/>
      <right style="thin">
        <color rgb="00D9D5CD"/>
      </right>
      <top style="thin">
        <color rgb="00D9D5CD"/>
      </top>
      <bottom style="thin">
        <color rgb="00D9D5CD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2" borderId="3" applyAlignment="1" pivotButton="0" quotePrefix="0" xfId="0">
      <alignment horizontal="center" vertical="center" wrapText="1"/>
    </xf>
    <xf numFmtId="0" fontId="2" fillId="4" borderId="3" applyAlignment="1" applyProtection="1" pivotButton="0" quotePrefix="0" xfId="0">
      <alignment horizontal="left" vertical="center" wrapText="1"/>
      <protection locked="0" hidden="0"/>
    </xf>
    <xf numFmtId="0" fontId="2" fillId="4" borderId="3" applyAlignment="1" applyProtection="1" pivotButton="0" quotePrefix="0" xfId="0">
      <alignment horizontal="center" vertical="center" wrapText="1"/>
      <protection locked="0" hidden="0"/>
    </xf>
    <xf numFmtId="4" fontId="2" fillId="4" borderId="3" applyAlignment="1" applyProtection="1" pivotButton="0" quotePrefix="0" xfId="0">
      <alignment horizontal="center" vertical="center" wrapText="1"/>
      <protection locked="0" hidden="0"/>
    </xf>
    <xf numFmtId="164" fontId="2" fillId="4" borderId="3" applyAlignment="1" applyProtection="1" pivotButton="0" quotePrefix="0" xfId="0">
      <alignment horizontal="right" vertical="center"/>
      <protection locked="0" hidden="0"/>
    </xf>
    <xf numFmtId="9" fontId="2" fillId="4" borderId="3" applyAlignment="1" applyProtection="1" pivotButton="0" quotePrefix="0" xfId="0">
      <alignment horizontal="center" vertical="center" wrapText="1"/>
      <protection locked="0" hidden="0"/>
    </xf>
    <xf numFmtId="164" fontId="6" fillId="5" borderId="3" applyAlignment="1" pivotButton="0" quotePrefix="0" xfId="0">
      <alignment horizontal="right" vertical="center"/>
    </xf>
    <xf numFmtId="0" fontId="2" fillId="6" borderId="3" applyAlignment="1" applyProtection="1" pivotButton="0" quotePrefix="0" xfId="0">
      <alignment horizontal="left" vertical="center" wrapText="1"/>
      <protection locked="0" hidden="0"/>
    </xf>
    <xf numFmtId="0" fontId="2" fillId="6" borderId="3" applyAlignment="1" applyProtection="1" pivotButton="0" quotePrefix="0" xfId="0">
      <alignment horizontal="center" vertical="center" wrapText="1"/>
      <protection locked="0" hidden="0"/>
    </xf>
    <xf numFmtId="4" fontId="2" fillId="6" borderId="3" applyAlignment="1" applyProtection="1" pivotButton="0" quotePrefix="0" xfId="0">
      <alignment horizontal="center" vertical="center" wrapText="1"/>
      <protection locked="0" hidden="0"/>
    </xf>
    <xf numFmtId="164" fontId="2" fillId="6" borderId="3" applyAlignment="1" applyProtection="1" pivotButton="0" quotePrefix="0" xfId="0">
      <alignment horizontal="right" vertical="center"/>
      <protection locked="0" hidden="0"/>
    </xf>
    <xf numFmtId="9" fontId="2" fillId="6" borderId="3" applyAlignment="1" applyProtection="1" pivotButton="0" quotePrefix="0" xfId="0">
      <alignment horizontal="center" vertical="center" wrapText="1"/>
      <protection locked="0" hidden="0"/>
    </xf>
    <xf numFmtId="0" fontId="7" fillId="6" borderId="3" applyAlignment="1" pivotButton="0" quotePrefix="0" xfId="0">
      <alignment horizontal="right" vertical="center"/>
    </xf>
    <xf numFmtId="0" fontId="8" fillId="4" borderId="3" applyAlignment="1" applyProtection="1" pivotButton="0" quotePrefix="0" xfId="0">
      <alignment horizontal="left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9" fillId="0" borderId="1" applyAlignment="1" pivotButton="0" quotePrefix="0" xfId="0">
      <alignment horizontal="left" vertical="center" wrapText="1"/>
    </xf>
    <xf numFmtId="164" fontId="10" fillId="7" borderId="3" applyAlignment="1" pivotButton="0" quotePrefix="0" xfId="0">
      <alignment horizontal="right" vertical="center"/>
    </xf>
    <xf numFmtId="0" fontId="11" fillId="2" borderId="3" applyAlignment="1" pivotButton="0" quotePrefix="0" xfId="0">
      <alignment horizontal="right" vertical="center"/>
    </xf>
    <xf numFmtId="0" fontId="0" fillId="0" borderId="6" pivotButton="0" quotePrefix="0" xfId="0"/>
    <xf numFmtId="0" fontId="0" fillId="0" borderId="7" pivotButton="0" quotePrefix="0" xfId="0"/>
    <xf numFmtId="164" fontId="12" fillId="8" borderId="3" applyAlignment="1" pivotButton="0" quotePrefix="0" xfId="0">
      <alignment horizontal="right" vertical="center"/>
    </xf>
    <xf numFmtId="0" fontId="12" fillId="3" borderId="2" applyAlignment="1" pivotButton="0" quotePrefix="0" xfId="0">
      <alignment horizontal="left" vertical="center" wrapText="1"/>
    </xf>
    <xf numFmtId="0" fontId="2" fillId="6" borderId="3" applyAlignment="1" pivotButton="0" quotePrefix="0" xfId="0">
      <alignment horizontal="right" vertical="center"/>
    </xf>
    <xf numFmtId="4" fontId="2" fillId="4" borderId="3" applyAlignment="1" applyProtection="1" pivotButton="0" quotePrefix="0" xfId="0">
      <alignment horizontal="right" vertical="center"/>
      <protection locked="0" hidden="0"/>
    </xf>
    <xf numFmtId="0" fontId="7" fillId="5" borderId="3" applyAlignment="1" pivotButton="0" quotePrefix="0" xfId="0">
      <alignment horizontal="right" vertical="center"/>
    </xf>
    <xf numFmtId="4" fontId="13" fillId="5" borderId="3" applyAlignment="1" pivotButton="0" quotePrefix="0" xfId="0">
      <alignment horizontal="right" vertical="center"/>
    </xf>
    <xf numFmtId="3" fontId="13" fillId="5" borderId="3" applyAlignment="1" pivotButton="0" quotePrefix="0" xfId="0">
      <alignment horizontal="right" vertical="center"/>
    </xf>
    <xf numFmtId="164" fontId="13" fillId="5" borderId="3" applyAlignment="1" pivotButton="0" quotePrefix="0" xfId="0">
      <alignment horizontal="right" vertical="center"/>
    </xf>
    <xf numFmtId="3" fontId="2" fillId="4" borderId="3" applyAlignment="1" applyProtection="1" pivotButton="0" quotePrefix="0" xfId="0">
      <alignment horizontal="right" vertical="center"/>
      <protection locked="0" hidden="0"/>
    </xf>
    <xf numFmtId="0" fontId="8" fillId="4" borderId="3" applyAlignment="1" pivotButton="0" quotePrefix="0" xfId="0">
      <alignment horizontal="left" vertical="center" wrapText="1"/>
    </xf>
    <xf numFmtId="3" fontId="8" fillId="4" borderId="3" applyAlignment="1" applyProtection="1" pivotButton="0" quotePrefix="0" xfId="0">
      <alignment horizontal="right" vertical="center"/>
      <protection locked="0" hidden="0"/>
    </xf>
    <xf numFmtId="0" fontId="11" fillId="8" borderId="3" applyAlignment="1" pivotButton="0" quotePrefix="0" xfId="0">
      <alignment horizontal="right" vertical="center"/>
    </xf>
    <xf numFmtId="164" fontId="11" fillId="8" borderId="3" applyAlignment="1" pivotButton="0" quotePrefix="0" xfId="0">
      <alignment horizontal="right" vertical="center"/>
    </xf>
    <xf numFmtId="164" fontId="14" fillId="5" borderId="3" applyAlignment="1" pivotButton="0" quotePrefix="0" xfId="0">
      <alignment horizontal="right" vertical="center"/>
    </xf>
    <xf numFmtId="164" fontId="11" fillId="2" borderId="3" applyAlignment="1" pivotButton="0" quotePrefix="0" xfId="0">
      <alignment horizontal="right" vertical="center"/>
    </xf>
    <xf numFmtId="0" fontId="12" fillId="8" borderId="3" applyAlignment="1" pivotButton="0" quotePrefix="0" xfId="0">
      <alignment horizontal="right" vertical="center"/>
    </xf>
    <xf numFmtId="164" fontId="15" fillId="8" borderId="3" applyAlignment="1" pivotButton="0" quotePrefix="0" xfId="0">
      <alignment horizontal="right" vertical="center"/>
    </xf>
    <xf numFmtId="165" fontId="8" fillId="4" borderId="3" applyAlignment="1" applyProtection="1" pivotButton="0" quotePrefix="0" xfId="0">
      <alignment horizontal="right" vertical="center"/>
      <protection locked="0" hidden="0"/>
    </xf>
    <xf numFmtId="164" fontId="16" fillId="5" borderId="3" applyAlignment="1" pivotButton="0" quotePrefix="0" xfId="0">
      <alignment horizontal="right" vertical="center"/>
    </xf>
    <xf numFmtId="0" fontId="7" fillId="4" borderId="3" applyAlignment="1" pivotButton="0" quotePrefix="0" xfId="0">
      <alignment horizontal="left" vertical="center" wrapText="1"/>
    </xf>
    <xf numFmtId="164" fontId="17" fillId="5" borderId="3" applyAlignment="1" pivotButton="0" quotePrefix="0" xfId="0">
      <alignment horizontal="right" vertical="center"/>
    </xf>
    <xf numFmtId="164" fontId="18" fillId="5" borderId="3" applyAlignment="1" pivotButton="0" quotePrefix="0" xfId="0">
      <alignment horizontal="right" vertical="center"/>
    </xf>
    <xf numFmtId="165" fontId="7" fillId="5" borderId="3" applyAlignment="1" pivotButton="0" quotePrefix="0" xfId="0">
      <alignment horizontal="right" vertical="center"/>
    </xf>
    <xf numFmtId="0" fontId="2" fillId="4" borderId="3" applyAlignment="1" pivotButton="0" quotePrefix="0" xfId="0">
      <alignment horizontal="left" vertical="center" wrapText="1"/>
    </xf>
    <xf numFmtId="164" fontId="2" fillId="5" borderId="3" applyAlignment="1" pivotButton="0" quotePrefix="0" xfId="0">
      <alignment horizontal="right" vertical="center"/>
    </xf>
    <xf numFmtId="165" fontId="2" fillId="5" borderId="3" applyAlignment="1" pivotButton="0" quotePrefix="0" xfId="0">
      <alignment horizontal="right" vertical="center"/>
    </xf>
    <xf numFmtId="164" fontId="7" fillId="9" borderId="3" applyAlignment="1" pivotButton="0" quotePrefix="0" xfId="0">
      <alignment horizontal="right" vertical="center"/>
    </xf>
    <xf numFmtId="165" fontId="7" fillId="9" borderId="3" applyAlignment="1" pivotButton="0" quotePrefix="0" xfId="0">
      <alignment horizontal="right" vertical="center"/>
    </xf>
    <xf numFmtId="9" fontId="12" fillId="8" borderId="3" applyAlignment="1" pivotButton="0" quotePrefix="0" xfId="0">
      <alignment horizontal="right" vertical="center"/>
    </xf>
    <xf numFmtId="0" fontId="8" fillId="6" borderId="3" applyAlignment="1" pivotButton="0" quotePrefix="0" xfId="0">
      <alignment horizontal="left" vertical="center" wrapText="1"/>
    </xf>
    <xf numFmtId="0" fontId="19" fillId="6" borderId="3" applyAlignment="1" pivotButton="0" quotePrefix="0" xfId="0">
      <alignment horizontal="left" vertical="center" wrapText="1"/>
    </xf>
    <xf numFmtId="0" fontId="19" fillId="4" borderId="3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name val="Calibri"/>
        <b val="1"/>
        <color rgb="00C0584E"/>
        <sz val="11"/>
      </font>
      <fill>
        <patternFill patternType="solid">
          <fgColor rgb="00F4DAD5"/>
        </patternFill>
      </fill>
    </dxf>
    <dxf>
      <font>
        <name val="Calibri"/>
        <b val="1"/>
        <color rgb="004F663F"/>
        <sz val="11"/>
      </font>
      <fill>
        <patternFill patternType="solid">
          <fgColor rgb="00DCE6D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Composição do Preço (R$/un)</a:t>
            </a:r>
          </a:p>
        </rich>
      </tx>
    </title>
    <plotArea>
      <doughnutChart>
        <varyColors val="1"/>
        <ser>
          <idx val="0"/>
          <order val="0"/>
          <tx>
            <strRef>
              <f>'5. Painel Visual'!B5</f>
            </strRef>
          </tx>
          <spPr>
            <a:ln>
              <a:prstDash val="solid"/>
            </a:ln>
          </spPr>
          <cat>
            <numRef>
              <f>'5. Painel Visual'!$A$6:$A$11</f>
            </numRef>
          </cat>
          <val>
            <numRef>
              <f>'5. Painel Visual'!$B$6:$B$11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Quanto pesa cada componente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'5. Painel Visual'!B5</f>
            </strRef>
          </tx>
          <spPr>
            <a:ln>
              <a:prstDash val="solid"/>
            </a:ln>
          </spPr>
          <cat>
            <numRef>
              <f>'5. Painel Visual'!$A$6:$A$11</f>
            </numRef>
          </cat>
          <val>
            <numRef>
              <f>'5. Painel Visual'!$B$6:$B$11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46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468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Categorias</t>
        </is>
      </c>
      <c r="C1" s="1" t="inlineStr">
        <is>
          <t>Unidades</t>
        </is>
      </c>
      <c r="E1" s="1" t="inlineStr">
        <is>
          <t>Tipos de Produto</t>
        </is>
      </c>
      <c r="G1" s="1" t="inlineStr">
        <is>
          <t>Unidade</t>
        </is>
      </c>
      <c r="H1" s="1" t="inlineStr">
        <is>
          <t>Fator p/ Unidade Minima</t>
        </is>
      </c>
    </row>
    <row r="2">
      <c r="A2" s="2" t="inlineStr">
        <is>
          <t>Doce</t>
        </is>
      </c>
      <c r="C2" s="2" t="inlineStr">
        <is>
          <t>g</t>
        </is>
      </c>
      <c r="E2" s="2" t="inlineStr">
        <is>
          <t>Doce</t>
        </is>
      </c>
      <c r="G2" s="2" t="inlineStr">
        <is>
          <t>g</t>
        </is>
      </c>
      <c r="H2" s="2" t="n">
        <v>1</v>
      </c>
    </row>
    <row r="3">
      <c r="A3" s="2" t="inlineStr">
        <is>
          <t>Salgado</t>
        </is>
      </c>
      <c r="C3" s="2" t="inlineStr">
        <is>
          <t>kg</t>
        </is>
      </c>
      <c r="E3" s="2" t="inlineStr">
        <is>
          <t>Salgado</t>
        </is>
      </c>
      <c r="G3" s="2" t="inlineStr">
        <is>
          <t>kg</t>
        </is>
      </c>
      <c r="H3" s="2" t="n">
        <v>1000</v>
      </c>
    </row>
    <row r="4">
      <c r="A4" s="2" t="inlineStr">
        <is>
          <t>Embalagem</t>
        </is>
      </c>
      <c r="C4" s="2" t="inlineStr">
        <is>
          <t>ml</t>
        </is>
      </c>
      <c r="E4" s="2" t="inlineStr">
        <is>
          <t>Torta</t>
        </is>
      </c>
      <c r="G4" s="2" t="inlineStr">
        <is>
          <t>ml</t>
        </is>
      </c>
      <c r="H4" s="2" t="n">
        <v>1</v>
      </c>
    </row>
    <row r="5">
      <c r="C5" s="2" t="inlineStr">
        <is>
          <t>L</t>
        </is>
      </c>
      <c r="G5" s="2" t="inlineStr">
        <is>
          <t>L</t>
        </is>
      </c>
      <c r="H5" s="2" t="n">
        <v>1000</v>
      </c>
    </row>
    <row r="6">
      <c r="C6" s="2" t="inlineStr">
        <is>
          <t>un</t>
        </is>
      </c>
      <c r="G6" s="2" t="inlineStr">
        <is>
          <t>un</t>
        </is>
      </c>
      <c r="H6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8A6B"/>
    <outlinePr summaryBelow="1" summaryRight="1"/>
    <pageSetUpPr/>
  </sheetPr>
  <dimension ref="A1:G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2" customWidth="1" min="4" max="4"/>
    <col width="14" customWidth="1" min="5" max="5"/>
    <col width="16" customWidth="1" min="6" max="6"/>
    <col width="22" customWidth="1" min="7" max="7"/>
  </cols>
  <sheetData>
    <row r="1" ht="30" customHeight="1">
      <c r="A1" s="3" t="inlineStr">
        <is>
          <t>BANCO DE DADOS DE INSUMOS</t>
        </is>
      </c>
    </row>
    <row r="2">
      <c r="A2" s="4" t="inlineStr">
        <is>
          <t>O motor da planilha — cadastre aqui TODOS os ingredientes e materiais. O custo unitario e calculado sozinho.</t>
        </is>
      </c>
    </row>
    <row r="3" ht="38" customHeight="1">
      <c r="A3" s="5" t="inlineStr">
        <is>
          <t>Ingrediente / Insumo</t>
        </is>
      </c>
      <c r="B3" s="5" t="inlineStr">
        <is>
          <t>Categoria</t>
        </is>
      </c>
      <c r="C3" s="5" t="inlineStr">
        <is>
          <t>Qtd da Embalagem de Compra</t>
        </is>
      </c>
      <c r="D3" s="5" t="inlineStr">
        <is>
          <t>Unidade de Medida</t>
        </is>
      </c>
      <c r="E3" s="5" t="inlineStr">
        <is>
          <t>Preço Pago (R$)</t>
        </is>
      </c>
      <c r="F3" s="5" t="inlineStr">
        <is>
          <t>Fator de Rendimento (%)</t>
        </is>
      </c>
      <c r="G3" s="5" t="inlineStr">
        <is>
          <t>Custo por Unidade Mínima (R$)</t>
        </is>
      </c>
    </row>
    <row r="4">
      <c r="A4" s="6" t="inlineStr">
        <is>
          <t>Leite Condensado</t>
        </is>
      </c>
      <c r="B4" s="7" t="inlineStr">
        <is>
          <t>Doce</t>
        </is>
      </c>
      <c r="C4" s="8" t="n">
        <v>395</v>
      </c>
      <c r="D4" s="7" t="inlineStr">
        <is>
          <t>g</t>
        </is>
      </c>
      <c r="E4" s="9" t="n">
        <v>6.5</v>
      </c>
      <c r="F4" s="10" t="n">
        <v>1</v>
      </c>
      <c r="G4" s="11">
        <f>IFERROR(E4/(C4*VLOOKUP(D4,tab_conversao,2,0)*IF(OR(F4="",F4=0),1,F4)),0)</f>
        <v/>
      </c>
    </row>
    <row r="5">
      <c r="A5" s="12" t="inlineStr">
        <is>
          <t>Creme de Leite</t>
        </is>
      </c>
      <c r="B5" s="13" t="inlineStr">
        <is>
          <t>Doce</t>
        </is>
      </c>
      <c r="C5" s="14" t="n">
        <v>200</v>
      </c>
      <c r="D5" s="13" t="inlineStr">
        <is>
          <t>g</t>
        </is>
      </c>
      <c r="E5" s="15" t="n">
        <v>3.8</v>
      </c>
      <c r="F5" s="16" t="n">
        <v>1</v>
      </c>
      <c r="G5" s="11">
        <f>IFERROR(E5/(C5*VLOOKUP(D5,tab_conversao,2,0)*IF(OR(F5="",F5=0),1,F5)),0)</f>
        <v/>
      </c>
    </row>
    <row r="6">
      <c r="A6" s="6" t="inlineStr">
        <is>
          <t>Chocolate em Pó 50%</t>
        </is>
      </c>
      <c r="B6" s="7" t="inlineStr">
        <is>
          <t>Doce</t>
        </is>
      </c>
      <c r="C6" s="8" t="n">
        <v>1000</v>
      </c>
      <c r="D6" s="7" t="inlineStr">
        <is>
          <t>g</t>
        </is>
      </c>
      <c r="E6" s="9" t="n">
        <v>28</v>
      </c>
      <c r="F6" s="10" t="n">
        <v>1</v>
      </c>
      <c r="G6" s="11">
        <f>IFERROR(E6/(C6*VLOOKUP(D6,tab_conversao,2,0)*IF(OR(F6="",F6=0),1,F6)),0)</f>
        <v/>
      </c>
    </row>
    <row r="7">
      <c r="A7" s="12" t="inlineStr">
        <is>
          <t>Manteiga</t>
        </is>
      </c>
      <c r="B7" s="13" t="inlineStr">
        <is>
          <t>Doce</t>
        </is>
      </c>
      <c r="C7" s="14" t="n">
        <v>500</v>
      </c>
      <c r="D7" s="13" t="inlineStr">
        <is>
          <t>g</t>
        </is>
      </c>
      <c r="E7" s="15" t="n">
        <v>22</v>
      </c>
      <c r="F7" s="16" t="n">
        <v>1</v>
      </c>
      <c r="G7" s="11">
        <f>IFERROR(E7/(C7*VLOOKUP(D7,tab_conversao,2,0)*IF(OR(F7="",F7=0),1,F7)),0)</f>
        <v/>
      </c>
    </row>
    <row r="8">
      <c r="A8" s="6" t="inlineStr">
        <is>
          <t>Granulado Belga</t>
        </is>
      </c>
      <c r="B8" s="7" t="inlineStr">
        <is>
          <t>Doce</t>
        </is>
      </c>
      <c r="C8" s="8" t="n">
        <v>500</v>
      </c>
      <c r="D8" s="7" t="inlineStr">
        <is>
          <t>g</t>
        </is>
      </c>
      <c r="E8" s="9" t="n">
        <v>35</v>
      </c>
      <c r="F8" s="10" t="n">
        <v>1</v>
      </c>
      <c r="G8" s="11">
        <f>IFERROR(E8/(C8*VLOOKUP(D8,tab_conversao,2,0)*IF(OR(F8="",F8=0),1,F8)),0)</f>
        <v/>
      </c>
    </row>
    <row r="9">
      <c r="A9" s="12" t="inlineStr">
        <is>
          <t>Açúcar Refinado</t>
        </is>
      </c>
      <c r="B9" s="13" t="inlineStr">
        <is>
          <t>Doce</t>
        </is>
      </c>
      <c r="C9" s="14" t="n">
        <v>1000</v>
      </c>
      <c r="D9" s="13" t="inlineStr">
        <is>
          <t>g</t>
        </is>
      </c>
      <c r="E9" s="15" t="n">
        <v>4.5</v>
      </c>
      <c r="F9" s="16" t="n">
        <v>1</v>
      </c>
      <c r="G9" s="11">
        <f>IFERROR(E9/(C9*VLOOKUP(D9,tab_conversao,2,0)*IF(OR(F9="",F9=0),1,F9)),0)</f>
        <v/>
      </c>
    </row>
    <row r="10">
      <c r="A10" s="6" t="inlineStr">
        <is>
          <t>Leite Integral</t>
        </is>
      </c>
      <c r="B10" s="7" t="inlineStr">
        <is>
          <t>Doce</t>
        </is>
      </c>
      <c r="C10" s="8" t="n">
        <v>1000</v>
      </c>
      <c r="D10" s="7" t="inlineStr">
        <is>
          <t>ml</t>
        </is>
      </c>
      <c r="E10" s="9" t="n">
        <v>5</v>
      </c>
      <c r="F10" s="10" t="n">
        <v>1</v>
      </c>
      <c r="G10" s="11">
        <f>IFERROR(E10/(C10*VLOOKUP(D10,tab_conversao,2,0)*IF(OR(F10="",F10=0),1,F10)),0)</f>
        <v/>
      </c>
    </row>
    <row r="11">
      <c r="A11" s="12" t="inlineStr">
        <is>
          <t>Farinha de Trigo</t>
        </is>
      </c>
      <c r="B11" s="13" t="inlineStr">
        <is>
          <t>Salgado</t>
        </is>
      </c>
      <c r="C11" s="14" t="n">
        <v>1000</v>
      </c>
      <c r="D11" s="13" t="inlineStr">
        <is>
          <t>g</t>
        </is>
      </c>
      <c r="E11" s="15" t="n">
        <v>4.8</v>
      </c>
      <c r="F11" s="16" t="n">
        <v>1</v>
      </c>
      <c r="G11" s="11">
        <f>IFERROR(E11/(C11*VLOOKUP(D11,tab_conversao,2,0)*IF(OR(F11="",F11=0),1,F11)),0)</f>
        <v/>
      </c>
    </row>
    <row r="12">
      <c r="A12" s="6" t="inlineStr">
        <is>
          <t>Frango (peito)</t>
        </is>
      </c>
      <c r="B12" s="7" t="inlineStr">
        <is>
          <t>Salgado</t>
        </is>
      </c>
      <c r="C12" s="8" t="n">
        <v>1000</v>
      </c>
      <c r="D12" s="7" t="inlineStr">
        <is>
          <t>g</t>
        </is>
      </c>
      <c r="E12" s="9" t="n">
        <v>18</v>
      </c>
      <c r="F12" s="10" t="n">
        <v>0.85</v>
      </c>
      <c r="G12" s="11">
        <f>IFERROR(E12/(C12*VLOOKUP(D12,tab_conversao,2,0)*IF(OR(F12="",F12=0),1,F12)),0)</f>
        <v/>
      </c>
    </row>
    <row r="13">
      <c r="A13" s="12" t="inlineStr">
        <is>
          <t>Queijo Muçarela</t>
        </is>
      </c>
      <c r="B13" s="13" t="inlineStr">
        <is>
          <t>Salgado</t>
        </is>
      </c>
      <c r="C13" s="14" t="n">
        <v>1000</v>
      </c>
      <c r="D13" s="13" t="inlineStr">
        <is>
          <t>g</t>
        </is>
      </c>
      <c r="E13" s="15" t="n">
        <v>32</v>
      </c>
      <c r="F13" s="16" t="n">
        <v>0.95</v>
      </c>
      <c r="G13" s="11">
        <f>IFERROR(E13/(C13*VLOOKUP(D13,tab_conversao,2,0)*IF(OR(F13="",F13=0),1,F13)),0)</f>
        <v/>
      </c>
    </row>
    <row r="14">
      <c r="A14" s="6" t="inlineStr">
        <is>
          <t>Óleo de Soja</t>
        </is>
      </c>
      <c r="B14" s="7" t="inlineStr">
        <is>
          <t>Salgado</t>
        </is>
      </c>
      <c r="C14" s="8" t="n">
        <v>900</v>
      </c>
      <c r="D14" s="7" t="inlineStr">
        <is>
          <t>ml</t>
        </is>
      </c>
      <c r="E14" s="9" t="n">
        <v>7.2</v>
      </c>
      <c r="F14" s="10" t="n">
        <v>1</v>
      </c>
      <c r="G14" s="11">
        <f>IFERROR(E14/(C14*VLOOKUP(D14,tab_conversao,2,0)*IF(OR(F14="",F14=0),1,F14)),0)</f>
        <v/>
      </c>
    </row>
    <row r="15">
      <c r="A15" s="12" t="inlineStr">
        <is>
          <t>Ovos</t>
        </is>
      </c>
      <c r="B15" s="13" t="inlineStr">
        <is>
          <t>Salgado</t>
        </is>
      </c>
      <c r="C15" s="14" t="n">
        <v>12</v>
      </c>
      <c r="D15" s="13" t="inlineStr">
        <is>
          <t>un</t>
        </is>
      </c>
      <c r="E15" s="15" t="n">
        <v>9</v>
      </c>
      <c r="F15" s="16" t="n">
        <v>1</v>
      </c>
      <c r="G15" s="11">
        <f>IFERROR(E15/(C15*VLOOKUP(D15,tab_conversao,2,0)*IF(OR(F15="",F15=0),1,F15)),0)</f>
        <v/>
      </c>
    </row>
    <row r="16">
      <c r="A16" s="6" t="inlineStr">
        <is>
          <t>Farinha de Rosca</t>
        </is>
      </c>
      <c r="B16" s="7" t="inlineStr">
        <is>
          <t>Salgado</t>
        </is>
      </c>
      <c r="C16" s="8" t="n">
        <v>500</v>
      </c>
      <c r="D16" s="7" t="inlineStr">
        <is>
          <t>g</t>
        </is>
      </c>
      <c r="E16" s="9" t="n">
        <v>6</v>
      </c>
      <c r="F16" s="10" t="n">
        <v>1</v>
      </c>
      <c r="G16" s="11">
        <f>IFERROR(E16/(C16*VLOOKUP(D16,tab_conversao,2,0)*IF(OR(F16="",F16=0),1,F16)),0)</f>
        <v/>
      </c>
    </row>
    <row r="17">
      <c r="A17" s="12" t="inlineStr">
        <is>
          <t>Margarina</t>
        </is>
      </c>
      <c r="B17" s="13" t="inlineStr">
        <is>
          <t>Salgado</t>
        </is>
      </c>
      <c r="C17" s="14" t="n">
        <v>500</v>
      </c>
      <c r="D17" s="13" t="inlineStr">
        <is>
          <t>g</t>
        </is>
      </c>
      <c r="E17" s="15" t="n">
        <v>8</v>
      </c>
      <c r="F17" s="16" t="n">
        <v>1</v>
      </c>
      <c r="G17" s="11">
        <f>IFERROR(E17/(C17*VLOOKUP(D17,tab_conversao,2,0)*IF(OR(F17="",F17=0),1,F17)),0)</f>
        <v/>
      </c>
    </row>
    <row r="18">
      <c r="A18" s="6" t="inlineStr">
        <is>
          <t>Fermento Químico</t>
        </is>
      </c>
      <c r="B18" s="7" t="inlineStr">
        <is>
          <t>Doce</t>
        </is>
      </c>
      <c r="C18" s="8" t="n">
        <v>100</v>
      </c>
      <c r="D18" s="7" t="inlineStr">
        <is>
          <t>g</t>
        </is>
      </c>
      <c r="E18" s="9" t="n">
        <v>5.5</v>
      </c>
      <c r="F18" s="10" t="n">
        <v>1</v>
      </c>
      <c r="G18" s="11">
        <f>IFERROR(E18/(C18*VLOOKUP(D18,tab_conversao,2,0)*IF(OR(F18="",F18=0),1,F18)),0)</f>
        <v/>
      </c>
    </row>
    <row r="19">
      <c r="A19" s="12" t="inlineStr">
        <is>
          <t>Forminha Nº4</t>
        </is>
      </c>
      <c r="B19" s="13" t="inlineStr">
        <is>
          <t>Embalagem</t>
        </is>
      </c>
      <c r="C19" s="14" t="n">
        <v>100</v>
      </c>
      <c r="D19" s="13" t="inlineStr">
        <is>
          <t>un</t>
        </is>
      </c>
      <c r="E19" s="15" t="n">
        <v>4.5</v>
      </c>
      <c r="F19" s="16" t="n">
        <v>1</v>
      </c>
      <c r="G19" s="11">
        <f>IFERROR(E19/(C19*VLOOKUP(D19,tab_conversao,2,0)*IF(OR(F19="",F19=0),1,F19)),0)</f>
        <v/>
      </c>
    </row>
    <row r="20">
      <c r="A20" s="6" t="inlineStr">
        <is>
          <t>Caixa Kraft 6 doces</t>
        </is>
      </c>
      <c r="B20" s="7" t="inlineStr">
        <is>
          <t>Embalagem</t>
        </is>
      </c>
      <c r="C20" s="8" t="n">
        <v>50</v>
      </c>
      <c r="D20" s="7" t="inlineStr">
        <is>
          <t>un</t>
        </is>
      </c>
      <c r="E20" s="9" t="n">
        <v>45</v>
      </c>
      <c r="F20" s="10" t="n">
        <v>1</v>
      </c>
      <c r="G20" s="11">
        <f>IFERROR(E20/(C20*VLOOKUP(D20,tab_conversao,2,0)*IF(OR(F20="",F20=0),1,F20)),0)</f>
        <v/>
      </c>
    </row>
    <row r="21">
      <c r="A21" s="12" t="inlineStr">
        <is>
          <t>Embalagem Torta</t>
        </is>
      </c>
      <c r="B21" s="13" t="inlineStr">
        <is>
          <t>Embalagem</t>
        </is>
      </c>
      <c r="C21" s="14" t="n">
        <v>25</v>
      </c>
      <c r="D21" s="13" t="inlineStr">
        <is>
          <t>un</t>
        </is>
      </c>
      <c r="E21" s="15" t="n">
        <v>30</v>
      </c>
      <c r="F21" s="16" t="n">
        <v>1</v>
      </c>
      <c r="G21" s="11">
        <f>IFERROR(E21/(C21*VLOOKUP(D21,tab_conversao,2,0)*IF(OR(F21="",F21=0),1,F21)),0)</f>
        <v/>
      </c>
    </row>
    <row r="22">
      <c r="A22" s="6" t="n"/>
      <c r="B22" s="7" t="n"/>
      <c r="C22" s="8" t="n"/>
      <c r="D22" s="7" t="n"/>
      <c r="E22" s="9" t="n"/>
      <c r="F22" s="10" t="n"/>
      <c r="G22" s="11">
        <f>IFERROR(E22/(C22*VLOOKUP(D22,tab_conversao,2,0)*IF(OR(F22="",F22=0),1,F22)),0)</f>
        <v/>
      </c>
    </row>
    <row r="23">
      <c r="A23" s="12" t="n"/>
      <c r="B23" s="13" t="n"/>
      <c r="C23" s="14" t="n"/>
      <c r="D23" s="13" t="n"/>
      <c r="E23" s="15" t="n"/>
      <c r="F23" s="16" t="n"/>
      <c r="G23" s="11">
        <f>IFERROR(E23/(C23*VLOOKUP(D23,tab_conversao,2,0)*IF(OR(F23="",F23=0),1,F23)),0)</f>
        <v/>
      </c>
    </row>
    <row r="24">
      <c r="A24" s="6" t="n"/>
      <c r="B24" s="7" t="n"/>
      <c r="C24" s="8" t="n"/>
      <c r="D24" s="7" t="n"/>
      <c r="E24" s="9" t="n"/>
      <c r="F24" s="10" t="n"/>
      <c r="G24" s="11">
        <f>IFERROR(E24/(C24*VLOOKUP(D24,tab_conversao,2,0)*IF(OR(F24="",F24=0),1,F24)),0)</f>
        <v/>
      </c>
    </row>
    <row r="25">
      <c r="A25" s="12" t="n"/>
      <c r="B25" s="13" t="n"/>
      <c r="C25" s="14" t="n"/>
      <c r="D25" s="13" t="n"/>
      <c r="E25" s="15" t="n"/>
      <c r="F25" s="16" t="n"/>
      <c r="G25" s="11">
        <f>IFERROR(E25/(C25*VLOOKUP(D25,tab_conversao,2,0)*IF(OR(F25="",F25=0),1,F25)),0)</f>
        <v/>
      </c>
    </row>
    <row r="26">
      <c r="A26" s="6" t="n"/>
      <c r="B26" s="7" t="n"/>
      <c r="C26" s="8" t="n"/>
      <c r="D26" s="7" t="n"/>
      <c r="E26" s="9" t="n"/>
      <c r="F26" s="10" t="n"/>
      <c r="G26" s="11">
        <f>IFERROR(E26/(C26*VLOOKUP(D26,tab_conversao,2,0)*IF(OR(F26="",F26=0),1,F26)),0)</f>
        <v/>
      </c>
    </row>
    <row r="27">
      <c r="A27" s="12" t="n"/>
      <c r="B27" s="13" t="n"/>
      <c r="C27" s="14" t="n"/>
      <c r="D27" s="13" t="n"/>
      <c r="E27" s="15" t="n"/>
      <c r="F27" s="16" t="n"/>
      <c r="G27" s="11">
        <f>IFERROR(E27/(C27*VLOOKUP(D27,tab_conversao,2,0)*IF(OR(F27="",F27=0),1,F27)),0)</f>
        <v/>
      </c>
    </row>
    <row r="28">
      <c r="A28" s="6" t="n"/>
      <c r="B28" s="7" t="n"/>
      <c r="C28" s="8" t="n"/>
      <c r="D28" s="7" t="n"/>
      <c r="E28" s="9" t="n"/>
      <c r="F28" s="10" t="n"/>
      <c r="G28" s="11">
        <f>IFERROR(E28/(C28*VLOOKUP(D28,tab_conversao,2,0)*IF(OR(F28="",F28=0),1,F28)),0)</f>
        <v/>
      </c>
    </row>
    <row r="29">
      <c r="A29" s="12" t="n"/>
      <c r="B29" s="13" t="n"/>
      <c r="C29" s="14" t="n"/>
      <c r="D29" s="13" t="n"/>
      <c r="E29" s="15" t="n"/>
      <c r="F29" s="16" t="n"/>
      <c r="G29" s="11">
        <f>IFERROR(E29/(C29*VLOOKUP(D29,tab_conversao,2,0)*IF(OR(F29="",F29=0),1,F29)),0)</f>
        <v/>
      </c>
    </row>
    <row r="30">
      <c r="A30" s="6" t="n"/>
      <c r="B30" s="7" t="n"/>
      <c r="C30" s="8" t="n"/>
      <c r="D30" s="7" t="n"/>
      <c r="E30" s="9" t="n"/>
      <c r="F30" s="10" t="n"/>
      <c r="G30" s="11">
        <f>IFERROR(E30/(C30*VLOOKUP(D30,tab_conversao,2,0)*IF(OR(F30="",F30=0),1,F30)),0)</f>
        <v/>
      </c>
    </row>
    <row r="31">
      <c r="A31" s="12" t="n"/>
      <c r="B31" s="13" t="n"/>
      <c r="C31" s="14" t="n"/>
      <c r="D31" s="13" t="n"/>
      <c r="E31" s="15" t="n"/>
      <c r="F31" s="16" t="n"/>
      <c r="G31" s="11">
        <f>IFERROR(E31/(C31*VLOOKUP(D31,tab_conversao,2,0)*IF(OR(F31="",F31=0),1,F31)),0)</f>
        <v/>
      </c>
    </row>
    <row r="32">
      <c r="A32" s="6" t="n"/>
      <c r="B32" s="7" t="n"/>
      <c r="C32" s="8" t="n"/>
      <c r="D32" s="7" t="n"/>
      <c r="E32" s="9" t="n"/>
      <c r="F32" s="10" t="n"/>
      <c r="G32" s="11">
        <f>IFERROR(E32/(C32*VLOOKUP(D32,tab_conversao,2,0)*IF(OR(F32="",F32=0),1,F32)),0)</f>
        <v/>
      </c>
    </row>
    <row r="33">
      <c r="A33" s="12" t="n"/>
      <c r="B33" s="13" t="n"/>
      <c r="C33" s="14" t="n"/>
      <c r="D33" s="13" t="n"/>
      <c r="E33" s="15" t="n"/>
      <c r="F33" s="16" t="n"/>
      <c r="G33" s="11">
        <f>IFERROR(E33/(C33*VLOOKUP(D33,tab_conversao,2,0)*IF(OR(F33="",F33=0),1,F33)),0)</f>
        <v/>
      </c>
    </row>
    <row r="34">
      <c r="A34" s="6" t="n"/>
      <c r="B34" s="7" t="n"/>
      <c r="C34" s="8" t="n"/>
      <c r="D34" s="7" t="n"/>
      <c r="E34" s="9" t="n"/>
      <c r="F34" s="10" t="n"/>
      <c r="G34" s="11">
        <f>IFERROR(E34/(C34*VLOOKUP(D34,tab_conversao,2,0)*IF(OR(F34="",F34=0),1,F34)),0)</f>
        <v/>
      </c>
    </row>
    <row r="35">
      <c r="A35" s="12" t="n"/>
      <c r="B35" s="13" t="n"/>
      <c r="C35" s="14" t="n"/>
      <c r="D35" s="13" t="n"/>
      <c r="E35" s="15" t="n"/>
      <c r="F35" s="16" t="n"/>
      <c r="G35" s="11">
        <f>IFERROR(E35/(C35*VLOOKUP(D35,tab_conversao,2,0)*IF(OR(F35="",F35=0),1,F35)),0)</f>
        <v/>
      </c>
    </row>
    <row r="36">
      <c r="A36" s="6" t="n"/>
      <c r="B36" s="7" t="n"/>
      <c r="C36" s="8" t="n"/>
      <c r="D36" s="7" t="n"/>
      <c r="E36" s="9" t="n"/>
      <c r="F36" s="10" t="n"/>
      <c r="G36" s="11">
        <f>IFERROR(E36/(C36*VLOOKUP(D36,tab_conversao,2,0)*IF(OR(F36="",F36=0),1,F36)),0)</f>
        <v/>
      </c>
    </row>
    <row r="37">
      <c r="A37" s="12" t="n"/>
      <c r="B37" s="13" t="n"/>
      <c r="C37" s="14" t="n"/>
      <c r="D37" s="13" t="n"/>
      <c r="E37" s="15" t="n"/>
      <c r="F37" s="16" t="n"/>
      <c r="G37" s="11">
        <f>IFERROR(E37/(C37*VLOOKUP(D37,tab_conversao,2,0)*IF(OR(F37="",F37=0),1,F37)),0)</f>
        <v/>
      </c>
    </row>
    <row r="38">
      <c r="A38" s="6" t="n"/>
      <c r="B38" s="7" t="n"/>
      <c r="C38" s="8" t="n"/>
      <c r="D38" s="7" t="n"/>
      <c r="E38" s="9" t="n"/>
      <c r="F38" s="10" t="n"/>
      <c r="G38" s="11">
        <f>IFERROR(E38/(C38*VLOOKUP(D38,tab_conversao,2,0)*IF(OR(F38="",F38=0),1,F38)),0)</f>
        <v/>
      </c>
    </row>
    <row r="39">
      <c r="A39" s="12" t="n"/>
      <c r="B39" s="13" t="n"/>
      <c r="C39" s="14" t="n"/>
      <c r="D39" s="13" t="n"/>
      <c r="E39" s="15" t="n"/>
      <c r="F39" s="16" t="n"/>
      <c r="G39" s="11">
        <f>IFERROR(E39/(C39*VLOOKUP(D39,tab_conversao,2,0)*IF(OR(F39="",F39=0),1,F39)),0)</f>
        <v/>
      </c>
    </row>
    <row r="40">
      <c r="A40" s="6" t="n"/>
      <c r="B40" s="7" t="n"/>
      <c r="C40" s="8" t="n"/>
      <c r="D40" s="7" t="n"/>
      <c r="E40" s="9" t="n"/>
      <c r="F40" s="10" t="n"/>
      <c r="G40" s="11">
        <f>IFERROR(E40/(C40*VLOOKUP(D40,tab_conversao,2,0)*IF(OR(F40="",F40=0),1,F40)),0)</f>
        <v/>
      </c>
    </row>
    <row r="41">
      <c r="A41" s="12" t="n"/>
      <c r="B41" s="13" t="n"/>
      <c r="C41" s="14" t="n"/>
      <c r="D41" s="13" t="n"/>
      <c r="E41" s="15" t="n"/>
      <c r="F41" s="16" t="n"/>
      <c r="G41" s="11">
        <f>IFERROR(E41/(C41*VLOOKUP(D41,tab_conversao,2,0)*IF(OR(F41="",F41=0),1,F41)),0)</f>
        <v/>
      </c>
    </row>
    <row r="42">
      <c r="A42" s="6" t="n"/>
      <c r="B42" s="7" t="n"/>
      <c r="C42" s="8" t="n"/>
      <c r="D42" s="7" t="n"/>
      <c r="E42" s="9" t="n"/>
      <c r="F42" s="10" t="n"/>
      <c r="G42" s="11">
        <f>IFERROR(E42/(C42*VLOOKUP(D42,tab_conversao,2,0)*IF(OR(F42="",F42=0),1,F42)),0)</f>
        <v/>
      </c>
    </row>
    <row r="43">
      <c r="A43" s="12" t="n"/>
      <c r="B43" s="13" t="n"/>
      <c r="C43" s="14" t="n"/>
      <c r="D43" s="13" t="n"/>
      <c r="E43" s="15" t="n"/>
      <c r="F43" s="16" t="n"/>
      <c r="G43" s="11">
        <f>IFERROR(E43/(C43*VLOOKUP(D43,tab_conversao,2,0)*IF(OR(F43="",F43=0),1,F43)),0)</f>
        <v/>
      </c>
    </row>
    <row r="44">
      <c r="A44" s="6" t="n"/>
      <c r="B44" s="7" t="n"/>
      <c r="C44" s="8" t="n"/>
      <c r="D44" s="7" t="n"/>
      <c r="E44" s="9" t="n"/>
      <c r="F44" s="10" t="n"/>
      <c r="G44" s="11">
        <f>IFERROR(E44/(C44*VLOOKUP(D44,tab_conversao,2,0)*IF(OR(F44="",F44=0),1,F44)),0)</f>
        <v/>
      </c>
    </row>
    <row r="45">
      <c r="A45" s="12" t="n"/>
      <c r="B45" s="13" t="n"/>
      <c r="C45" s="14" t="n"/>
      <c r="D45" s="13" t="n"/>
      <c r="E45" s="15" t="n"/>
      <c r="F45" s="16" t="n"/>
      <c r="G45" s="11">
        <f>IFERROR(E45/(C45*VLOOKUP(D45,tab_conversao,2,0)*IF(OR(F45="",F45=0),1,F45)),0)</f>
        <v/>
      </c>
    </row>
    <row r="46">
      <c r="A46" s="6" t="n"/>
      <c r="B46" s="7" t="n"/>
      <c r="C46" s="8" t="n"/>
      <c r="D46" s="7" t="n"/>
      <c r="E46" s="9" t="n"/>
      <c r="F46" s="10" t="n"/>
      <c r="G46" s="11">
        <f>IFERROR(E46/(C46*VLOOKUP(D46,tab_conversao,2,0)*IF(OR(F46="",F46=0),1,F46)),0)</f>
        <v/>
      </c>
    </row>
    <row r="47">
      <c r="A47" s="12" t="n"/>
      <c r="B47" s="13" t="n"/>
      <c r="C47" s="14" t="n"/>
      <c r="D47" s="13" t="n"/>
      <c r="E47" s="15" t="n"/>
      <c r="F47" s="16" t="n"/>
      <c r="G47" s="11">
        <f>IFERROR(E47/(C47*VLOOKUP(D47,tab_conversao,2,0)*IF(OR(F47="",F47=0),1,F47)),0)</f>
        <v/>
      </c>
    </row>
    <row r="48">
      <c r="A48" s="6" t="n"/>
      <c r="B48" s="7" t="n"/>
      <c r="C48" s="8" t="n"/>
      <c r="D48" s="7" t="n"/>
      <c r="E48" s="9" t="n"/>
      <c r="F48" s="10" t="n"/>
      <c r="G48" s="11">
        <f>IFERROR(E48/(C48*VLOOKUP(D48,tab_conversao,2,0)*IF(OR(F48="",F48=0),1,F48)),0)</f>
        <v/>
      </c>
    </row>
    <row r="49">
      <c r="A49" s="12" t="n"/>
      <c r="B49" s="13" t="n"/>
      <c r="C49" s="14" t="n"/>
      <c r="D49" s="13" t="n"/>
      <c r="E49" s="15" t="n"/>
      <c r="F49" s="16" t="n"/>
      <c r="G49" s="11">
        <f>IFERROR(E49/(C49*VLOOKUP(D49,tab_conversao,2,0)*IF(OR(F49="",F49=0),1,F49)),0)</f>
        <v/>
      </c>
    </row>
    <row r="50">
      <c r="A50" s="6" t="n"/>
      <c r="B50" s="7" t="n"/>
      <c r="C50" s="8" t="n"/>
      <c r="D50" s="7" t="n"/>
      <c r="E50" s="9" t="n"/>
      <c r="F50" s="10" t="n"/>
      <c r="G50" s="11">
        <f>IFERROR(E50/(C50*VLOOKUP(D50,tab_conversao,2,0)*IF(OR(F50="",F50=0),1,F50)),0)</f>
        <v/>
      </c>
    </row>
    <row r="51">
      <c r="A51" s="12" t="n"/>
      <c r="B51" s="13" t="n"/>
      <c r="C51" s="14" t="n"/>
      <c r="D51" s="13" t="n"/>
      <c r="E51" s="15" t="n"/>
      <c r="F51" s="16" t="n"/>
      <c r="G51" s="11">
        <f>IFERROR(E51/(C51*VLOOKUP(D51,tab_conversao,2,0)*IF(OR(F51="",F51=0),1,F51)),0)</f>
        <v/>
      </c>
    </row>
    <row r="52">
      <c r="A52" s="6" t="n"/>
      <c r="B52" s="7" t="n"/>
      <c r="C52" s="8" t="n"/>
      <c r="D52" s="7" t="n"/>
      <c r="E52" s="9" t="n"/>
      <c r="F52" s="10" t="n"/>
      <c r="G52" s="11">
        <f>IFERROR(E52/(C52*VLOOKUP(D52,tab_conversao,2,0)*IF(OR(F52="",F52=0),1,F52)),0)</f>
        <v/>
      </c>
    </row>
    <row r="53">
      <c r="A53" s="12" t="n"/>
      <c r="B53" s="13" t="n"/>
      <c r="C53" s="14" t="n"/>
      <c r="D53" s="13" t="n"/>
      <c r="E53" s="15" t="n"/>
      <c r="F53" s="16" t="n"/>
      <c r="G53" s="11">
        <f>IFERROR(E53/(C53*VLOOKUP(D53,tab_conversao,2,0)*IF(OR(F53="",F53=0),1,F53)),0)</f>
        <v/>
      </c>
    </row>
    <row r="54">
      <c r="A54" s="6" t="n"/>
      <c r="B54" s="7" t="n"/>
      <c r="C54" s="8" t="n"/>
      <c r="D54" s="7" t="n"/>
      <c r="E54" s="9" t="n"/>
      <c r="F54" s="10" t="n"/>
      <c r="G54" s="11">
        <f>IFERROR(E54/(C54*VLOOKUP(D54,tab_conversao,2,0)*IF(OR(F54="",F54=0),1,F54)),0)</f>
        <v/>
      </c>
    </row>
    <row r="55">
      <c r="A55" s="12" t="n"/>
      <c r="B55" s="13" t="n"/>
      <c r="C55" s="14" t="n"/>
      <c r="D55" s="13" t="n"/>
      <c r="E55" s="15" t="n"/>
      <c r="F55" s="16" t="n"/>
      <c r="G55" s="11">
        <f>IFERROR(E55/(C55*VLOOKUP(D55,tab_conversao,2,0)*IF(OR(F55="",F55=0),1,F55)),0)</f>
        <v/>
      </c>
    </row>
    <row r="56">
      <c r="A56" s="6" t="n"/>
      <c r="B56" s="7" t="n"/>
      <c r="C56" s="8" t="n"/>
      <c r="D56" s="7" t="n"/>
      <c r="E56" s="9" t="n"/>
      <c r="F56" s="10" t="n"/>
      <c r="G56" s="11">
        <f>IFERROR(E56/(C56*VLOOKUP(D56,tab_conversao,2,0)*IF(OR(F56="",F56=0),1,F56)),0)</f>
        <v/>
      </c>
    </row>
    <row r="57">
      <c r="A57" s="12" t="n"/>
      <c r="B57" s="13" t="n"/>
      <c r="C57" s="14" t="n"/>
      <c r="D57" s="13" t="n"/>
      <c r="E57" s="15" t="n"/>
      <c r="F57" s="16" t="n"/>
      <c r="G57" s="11">
        <f>IFERROR(E57/(C57*VLOOKUP(D57,tab_conversao,2,0)*IF(OR(F57="",F57=0),1,F57)),0)</f>
        <v/>
      </c>
    </row>
    <row r="58">
      <c r="A58" s="6" t="n"/>
      <c r="B58" s="7" t="n"/>
      <c r="C58" s="8" t="n"/>
      <c r="D58" s="7" t="n"/>
      <c r="E58" s="9" t="n"/>
      <c r="F58" s="10" t="n"/>
      <c r="G58" s="11">
        <f>IFERROR(E58/(C58*VLOOKUP(D58,tab_conversao,2,0)*IF(OR(F58="",F58=0),1,F58)),0)</f>
        <v/>
      </c>
    </row>
    <row r="59">
      <c r="A59" s="12" t="n"/>
      <c r="B59" s="13" t="n"/>
      <c r="C59" s="14" t="n"/>
      <c r="D59" s="13" t="n"/>
      <c r="E59" s="15" t="n"/>
      <c r="F59" s="16" t="n"/>
      <c r="G59" s="11">
        <f>IFERROR(E59/(C59*VLOOKUP(D59,tab_conversao,2,0)*IF(OR(F59="",F59=0),1,F59)),0)</f>
        <v/>
      </c>
    </row>
    <row r="60">
      <c r="A60" s="6" t="n"/>
      <c r="B60" s="7" t="n"/>
      <c r="C60" s="8" t="n"/>
      <c r="D60" s="7" t="n"/>
      <c r="E60" s="9" t="n"/>
      <c r="F60" s="10" t="n"/>
      <c r="G60" s="11">
        <f>IFERROR(E60/(C60*VLOOKUP(D60,tab_conversao,2,0)*IF(OR(F60="",F60=0),1,F60)),0)</f>
        <v/>
      </c>
    </row>
    <row r="61">
      <c r="A61" s="12" t="n"/>
      <c r="B61" s="13" t="n"/>
      <c r="C61" s="14" t="n"/>
      <c r="D61" s="13" t="n"/>
      <c r="E61" s="15" t="n"/>
      <c r="F61" s="16" t="n"/>
      <c r="G61" s="11">
        <f>IFERROR(E61/(C61*VLOOKUP(D61,tab_conversao,2,0)*IF(OR(F61="",F61=0),1,F61)),0)</f>
        <v/>
      </c>
    </row>
    <row r="62">
      <c r="A62" s="6" t="n"/>
      <c r="B62" s="7" t="n"/>
      <c r="C62" s="8" t="n"/>
      <c r="D62" s="7" t="n"/>
      <c r="E62" s="9" t="n"/>
      <c r="F62" s="10" t="n"/>
      <c r="G62" s="11">
        <f>IFERROR(E62/(C62*VLOOKUP(D62,tab_conversao,2,0)*IF(OR(F62="",F62=0),1,F62)),0)</f>
        <v/>
      </c>
    </row>
    <row r="63">
      <c r="A63" s="12" t="n"/>
      <c r="B63" s="13" t="n"/>
      <c r="C63" s="14" t="n"/>
      <c r="D63" s="13" t="n"/>
      <c r="E63" s="15" t="n"/>
      <c r="F63" s="16" t="n"/>
      <c r="G63" s="11">
        <f>IFERROR(E63/(C63*VLOOKUP(D63,tab_conversao,2,0)*IF(OR(F63="",F63=0),1,F63)),0)</f>
        <v/>
      </c>
    </row>
    <row r="64">
      <c r="A64" s="6" t="n"/>
      <c r="B64" s="7" t="n"/>
      <c r="C64" s="8" t="n"/>
      <c r="D64" s="7" t="n"/>
      <c r="E64" s="9" t="n"/>
      <c r="F64" s="10" t="n"/>
      <c r="G64" s="11">
        <f>IFERROR(E64/(C64*VLOOKUP(D64,tab_conversao,2,0)*IF(OR(F64="",F64=0),1,F64)),0)</f>
        <v/>
      </c>
    </row>
    <row r="65">
      <c r="A65" s="12" t="n"/>
      <c r="B65" s="13" t="n"/>
      <c r="C65" s="14" t="n"/>
      <c r="D65" s="13" t="n"/>
      <c r="E65" s="15" t="n"/>
      <c r="F65" s="16" t="n"/>
      <c r="G65" s="11">
        <f>IFERROR(E65/(C65*VLOOKUP(D65,tab_conversao,2,0)*IF(OR(F65="",F65=0),1,F65)),0)</f>
        <v/>
      </c>
    </row>
    <row r="66">
      <c r="A66" s="6" t="n"/>
      <c r="B66" s="7" t="n"/>
      <c r="C66" s="8" t="n"/>
      <c r="D66" s="7" t="n"/>
      <c r="E66" s="9" t="n"/>
      <c r="F66" s="10" t="n"/>
      <c r="G66" s="11">
        <f>IFERROR(E66/(C66*VLOOKUP(D66,tab_conversao,2,0)*IF(OR(F66="",F66=0),1,F66)),0)</f>
        <v/>
      </c>
    </row>
    <row r="67">
      <c r="A67" s="12" t="n"/>
      <c r="B67" s="13" t="n"/>
      <c r="C67" s="14" t="n"/>
      <c r="D67" s="13" t="n"/>
      <c r="E67" s="15" t="n"/>
      <c r="F67" s="16" t="n"/>
      <c r="G67" s="11">
        <f>IFERROR(E67/(C67*VLOOKUP(D67,tab_conversao,2,0)*IF(OR(F67="",F67=0),1,F67)),0)</f>
        <v/>
      </c>
    </row>
    <row r="68">
      <c r="A68" s="6" t="n"/>
      <c r="B68" s="7" t="n"/>
      <c r="C68" s="8" t="n"/>
      <c r="D68" s="7" t="n"/>
      <c r="E68" s="9" t="n"/>
      <c r="F68" s="10" t="n"/>
      <c r="G68" s="11">
        <f>IFERROR(E68/(C68*VLOOKUP(D68,tab_conversao,2,0)*IF(OR(F68="",F68=0),1,F68)),0)</f>
        <v/>
      </c>
    </row>
    <row r="69">
      <c r="A69" s="12" t="n"/>
      <c r="B69" s="13" t="n"/>
      <c r="C69" s="14" t="n"/>
      <c r="D69" s="13" t="n"/>
      <c r="E69" s="15" t="n"/>
      <c r="F69" s="16" t="n"/>
      <c r="G69" s="11">
        <f>IFERROR(E69/(C69*VLOOKUP(D69,tab_conversao,2,0)*IF(OR(F69="",F69=0),1,F69)),0)</f>
        <v/>
      </c>
    </row>
    <row r="70">
      <c r="A70" s="6" t="n"/>
      <c r="B70" s="7" t="n"/>
      <c r="C70" s="8" t="n"/>
      <c r="D70" s="7" t="n"/>
      <c r="E70" s="9" t="n"/>
      <c r="F70" s="10" t="n"/>
      <c r="G70" s="11">
        <f>IFERROR(E70/(C70*VLOOKUP(D70,tab_conversao,2,0)*IF(OR(F70="",F70=0),1,F70)),0)</f>
        <v/>
      </c>
    </row>
    <row r="71">
      <c r="A71" s="12" t="n"/>
      <c r="B71" s="13" t="n"/>
      <c r="C71" s="14" t="n"/>
      <c r="D71" s="13" t="n"/>
      <c r="E71" s="15" t="n"/>
      <c r="F71" s="16" t="n"/>
      <c r="G71" s="11">
        <f>IFERROR(E71/(C71*VLOOKUP(D71,tab_conversao,2,0)*IF(OR(F71="",F71=0),1,F71)),0)</f>
        <v/>
      </c>
    </row>
    <row r="72">
      <c r="A72" s="6" t="n"/>
      <c r="B72" s="7" t="n"/>
      <c r="C72" s="8" t="n"/>
      <c r="D72" s="7" t="n"/>
      <c r="E72" s="9" t="n"/>
      <c r="F72" s="10" t="n"/>
      <c r="G72" s="11">
        <f>IFERROR(E72/(C72*VLOOKUP(D72,tab_conversao,2,0)*IF(OR(F72="",F72=0),1,F72)),0)</f>
        <v/>
      </c>
    </row>
    <row r="73">
      <c r="A73" s="12" t="n"/>
      <c r="B73" s="13" t="n"/>
      <c r="C73" s="14" t="n"/>
      <c r="D73" s="13" t="n"/>
      <c r="E73" s="15" t="n"/>
      <c r="F73" s="16" t="n"/>
      <c r="G73" s="11">
        <f>IFERROR(E73/(C73*VLOOKUP(D73,tab_conversao,2,0)*IF(OR(F73="",F73=0),1,F73)),0)</f>
        <v/>
      </c>
    </row>
    <row r="74">
      <c r="A74" s="6" t="n"/>
      <c r="B74" s="7" t="n"/>
      <c r="C74" s="8" t="n"/>
      <c r="D74" s="7" t="n"/>
      <c r="E74" s="9" t="n"/>
      <c r="F74" s="10" t="n"/>
      <c r="G74" s="11">
        <f>IFERROR(E74/(C74*VLOOKUP(D74,tab_conversao,2,0)*IF(OR(F74="",F74=0),1,F74)),0)</f>
        <v/>
      </c>
    </row>
    <row r="75">
      <c r="A75" s="12" t="n"/>
      <c r="B75" s="13" t="n"/>
      <c r="C75" s="14" t="n"/>
      <c r="D75" s="13" t="n"/>
      <c r="E75" s="15" t="n"/>
      <c r="F75" s="16" t="n"/>
      <c r="G75" s="11">
        <f>IFERROR(E75/(C75*VLOOKUP(D75,tab_conversao,2,0)*IF(OR(F75="",F75=0),1,F75)),0)</f>
        <v/>
      </c>
    </row>
    <row r="76">
      <c r="A76" s="6" t="n"/>
      <c r="B76" s="7" t="n"/>
      <c r="C76" s="8" t="n"/>
      <c r="D76" s="7" t="n"/>
      <c r="E76" s="9" t="n"/>
      <c r="F76" s="10" t="n"/>
      <c r="G76" s="11">
        <f>IFERROR(E76/(C76*VLOOKUP(D76,tab_conversao,2,0)*IF(OR(F76="",F76=0),1,F76)),0)</f>
        <v/>
      </c>
    </row>
    <row r="77">
      <c r="A77" s="12" t="n"/>
      <c r="B77" s="13" t="n"/>
      <c r="C77" s="14" t="n"/>
      <c r="D77" s="13" t="n"/>
      <c r="E77" s="15" t="n"/>
      <c r="F77" s="16" t="n"/>
      <c r="G77" s="11">
        <f>IFERROR(E77/(C77*VLOOKUP(D77,tab_conversao,2,0)*IF(OR(F77="",F77=0),1,F77)),0)</f>
        <v/>
      </c>
    </row>
    <row r="78">
      <c r="A78" s="6" t="n"/>
      <c r="B78" s="7" t="n"/>
      <c r="C78" s="8" t="n"/>
      <c r="D78" s="7" t="n"/>
      <c r="E78" s="9" t="n"/>
      <c r="F78" s="10" t="n"/>
      <c r="G78" s="11">
        <f>IFERROR(E78/(C78*VLOOKUP(D78,tab_conversao,2,0)*IF(OR(F78="",F78=0),1,F78)),0)</f>
        <v/>
      </c>
    </row>
    <row r="79">
      <c r="A79" s="12" t="n"/>
      <c r="B79" s="13" t="n"/>
      <c r="C79" s="14" t="n"/>
      <c r="D79" s="13" t="n"/>
      <c r="E79" s="15" t="n"/>
      <c r="F79" s="16" t="n"/>
      <c r="G79" s="11">
        <f>IFERROR(E79/(C79*VLOOKUP(D79,tab_conversao,2,0)*IF(OR(F79="",F79=0),1,F79)),0)</f>
        <v/>
      </c>
    </row>
    <row r="80">
      <c r="A80" s="6" t="n"/>
      <c r="B80" s="7" t="n"/>
      <c r="C80" s="8" t="n"/>
      <c r="D80" s="7" t="n"/>
      <c r="E80" s="9" t="n"/>
      <c r="F80" s="10" t="n"/>
      <c r="G80" s="11">
        <f>IFERROR(E80/(C80*VLOOKUP(D80,tab_conversao,2,0)*IF(OR(F80="",F80=0),1,F80)),0)</f>
        <v/>
      </c>
    </row>
    <row r="81">
      <c r="A81" s="12" t="n"/>
      <c r="B81" s="13" t="n"/>
      <c r="C81" s="14" t="n"/>
      <c r="D81" s="13" t="n"/>
      <c r="E81" s="15" t="n"/>
      <c r="F81" s="16" t="n"/>
      <c r="G81" s="11">
        <f>IFERROR(E81/(C81*VLOOKUP(D81,tab_conversao,2,0)*IF(OR(F81="",F81=0),1,F81)),0)</f>
        <v/>
      </c>
    </row>
    <row r="82">
      <c r="A82" s="6" t="n"/>
      <c r="B82" s="7" t="n"/>
      <c r="C82" s="8" t="n"/>
      <c r="D82" s="7" t="n"/>
      <c r="E82" s="9" t="n"/>
      <c r="F82" s="10" t="n"/>
      <c r="G82" s="11">
        <f>IFERROR(E82/(C82*VLOOKUP(D82,tab_conversao,2,0)*IF(OR(F82="",F82=0),1,F82)),0)</f>
        <v/>
      </c>
    </row>
    <row r="83">
      <c r="A83" s="12" t="n"/>
      <c r="B83" s="13" t="n"/>
      <c r="C83" s="14" t="n"/>
      <c r="D83" s="13" t="n"/>
      <c r="E83" s="15" t="n"/>
      <c r="F83" s="16" t="n"/>
      <c r="G83" s="11">
        <f>IFERROR(E83/(C83*VLOOKUP(D83,tab_conversao,2,0)*IF(OR(F83="",F83=0),1,F83)),0)</f>
        <v/>
      </c>
    </row>
    <row r="84">
      <c r="A84" s="6" t="n"/>
      <c r="B84" s="7" t="n"/>
      <c r="C84" s="8" t="n"/>
      <c r="D84" s="7" t="n"/>
      <c r="E84" s="9" t="n"/>
      <c r="F84" s="10" t="n"/>
      <c r="G84" s="11">
        <f>IFERROR(E84/(C84*VLOOKUP(D84,tab_conversao,2,0)*IF(OR(F84="",F84=0),1,F84)),0)</f>
        <v/>
      </c>
    </row>
    <row r="85">
      <c r="A85" s="12" t="n"/>
      <c r="B85" s="13" t="n"/>
      <c r="C85" s="14" t="n"/>
      <c r="D85" s="13" t="n"/>
      <c r="E85" s="15" t="n"/>
      <c r="F85" s="16" t="n"/>
      <c r="G85" s="11">
        <f>IFERROR(E85/(C85*VLOOKUP(D85,tab_conversao,2,0)*IF(OR(F85="",F85=0),1,F85)),0)</f>
        <v/>
      </c>
    </row>
    <row r="86">
      <c r="A86" s="6" t="n"/>
      <c r="B86" s="7" t="n"/>
      <c r="C86" s="8" t="n"/>
      <c r="D86" s="7" t="n"/>
      <c r="E86" s="9" t="n"/>
      <c r="F86" s="10" t="n"/>
      <c r="G86" s="11">
        <f>IFERROR(E86/(C86*VLOOKUP(D86,tab_conversao,2,0)*IF(OR(F86="",F86=0),1,F86)),0)</f>
        <v/>
      </c>
    </row>
    <row r="87">
      <c r="A87" s="12" t="n"/>
      <c r="B87" s="13" t="n"/>
      <c r="C87" s="14" t="n"/>
      <c r="D87" s="13" t="n"/>
      <c r="E87" s="15" t="n"/>
      <c r="F87" s="16" t="n"/>
      <c r="G87" s="11">
        <f>IFERROR(E87/(C87*VLOOKUP(D87,tab_conversao,2,0)*IF(OR(F87="",F87=0),1,F87)),0)</f>
        <v/>
      </c>
    </row>
    <row r="88">
      <c r="A88" s="6" t="n"/>
      <c r="B88" s="7" t="n"/>
      <c r="C88" s="8" t="n"/>
      <c r="D88" s="7" t="n"/>
      <c r="E88" s="9" t="n"/>
      <c r="F88" s="10" t="n"/>
      <c r="G88" s="11">
        <f>IFERROR(E88/(C88*VLOOKUP(D88,tab_conversao,2,0)*IF(OR(F88="",F88=0),1,F88)),0)</f>
        <v/>
      </c>
    </row>
    <row r="89">
      <c r="A89" s="12" t="n"/>
      <c r="B89" s="13" t="n"/>
      <c r="C89" s="14" t="n"/>
      <c r="D89" s="13" t="n"/>
      <c r="E89" s="15" t="n"/>
      <c r="F89" s="16" t="n"/>
      <c r="G89" s="11">
        <f>IFERROR(E89/(C89*VLOOKUP(D89,tab_conversao,2,0)*IF(OR(F89="",F89=0),1,F89)),0)</f>
        <v/>
      </c>
    </row>
    <row r="90">
      <c r="A90" s="6" t="n"/>
      <c r="B90" s="7" t="n"/>
      <c r="C90" s="8" t="n"/>
      <c r="D90" s="7" t="n"/>
      <c r="E90" s="9" t="n"/>
      <c r="F90" s="10" t="n"/>
      <c r="G90" s="11">
        <f>IFERROR(E90/(C90*VLOOKUP(D90,tab_conversao,2,0)*IF(OR(F90="",F90=0),1,F90)),0)</f>
        <v/>
      </c>
    </row>
    <row r="91">
      <c r="A91" s="12" t="n"/>
      <c r="B91" s="13" t="n"/>
      <c r="C91" s="14" t="n"/>
      <c r="D91" s="13" t="n"/>
      <c r="E91" s="15" t="n"/>
      <c r="F91" s="16" t="n"/>
      <c r="G91" s="11">
        <f>IFERROR(E91/(C91*VLOOKUP(D91,tab_conversao,2,0)*IF(OR(F91="",F91=0),1,F91)),0)</f>
        <v/>
      </c>
    </row>
    <row r="92">
      <c r="A92" s="6" t="n"/>
      <c r="B92" s="7" t="n"/>
      <c r="C92" s="8" t="n"/>
      <c r="D92" s="7" t="n"/>
      <c r="E92" s="9" t="n"/>
      <c r="F92" s="10" t="n"/>
      <c r="G92" s="11">
        <f>IFERROR(E92/(C92*VLOOKUP(D92,tab_conversao,2,0)*IF(OR(F92="",F92=0),1,F92)),0)</f>
        <v/>
      </c>
    </row>
    <row r="93">
      <c r="A93" s="12" t="n"/>
      <c r="B93" s="13" t="n"/>
      <c r="C93" s="14" t="n"/>
      <c r="D93" s="13" t="n"/>
      <c r="E93" s="15" t="n"/>
      <c r="F93" s="16" t="n"/>
      <c r="G93" s="11">
        <f>IFERROR(E93/(C93*VLOOKUP(D93,tab_conversao,2,0)*IF(OR(F93="",F93=0),1,F93)),0)</f>
        <v/>
      </c>
    </row>
    <row r="94">
      <c r="A94" s="6" t="n"/>
      <c r="B94" s="7" t="n"/>
      <c r="C94" s="8" t="n"/>
      <c r="D94" s="7" t="n"/>
      <c r="E94" s="9" t="n"/>
      <c r="F94" s="10" t="n"/>
      <c r="G94" s="11">
        <f>IFERROR(E94/(C94*VLOOKUP(D94,tab_conversao,2,0)*IF(OR(F94="",F94=0),1,F94)),0)</f>
        <v/>
      </c>
    </row>
    <row r="95">
      <c r="A95" s="12" t="n"/>
      <c r="B95" s="13" t="n"/>
      <c r="C95" s="14" t="n"/>
      <c r="D95" s="13" t="n"/>
      <c r="E95" s="15" t="n"/>
      <c r="F95" s="16" t="n"/>
      <c r="G95" s="11">
        <f>IFERROR(E95/(C95*VLOOKUP(D95,tab_conversao,2,0)*IF(OR(F95="",F95=0),1,F95)),0)</f>
        <v/>
      </c>
    </row>
    <row r="96">
      <c r="A96" s="6" t="n"/>
      <c r="B96" s="7" t="n"/>
      <c r="C96" s="8" t="n"/>
      <c r="D96" s="7" t="n"/>
      <c r="E96" s="9" t="n"/>
      <c r="F96" s="10" t="n"/>
      <c r="G96" s="11">
        <f>IFERROR(E96/(C96*VLOOKUP(D96,tab_conversao,2,0)*IF(OR(F96="",F96=0),1,F96)),0)</f>
        <v/>
      </c>
    </row>
    <row r="97">
      <c r="A97" s="12" t="n"/>
      <c r="B97" s="13" t="n"/>
      <c r="C97" s="14" t="n"/>
      <c r="D97" s="13" t="n"/>
      <c r="E97" s="15" t="n"/>
      <c r="F97" s="16" t="n"/>
      <c r="G97" s="11">
        <f>IFERROR(E97/(C97*VLOOKUP(D97,tab_conversao,2,0)*IF(OR(F97="",F97=0),1,F97)),0)</f>
        <v/>
      </c>
    </row>
    <row r="98">
      <c r="A98" s="6" t="n"/>
      <c r="B98" s="7" t="n"/>
      <c r="C98" s="8" t="n"/>
      <c r="D98" s="7" t="n"/>
      <c r="E98" s="9" t="n"/>
      <c r="F98" s="10" t="n"/>
      <c r="G98" s="11">
        <f>IFERROR(E98/(C98*VLOOKUP(D98,tab_conversao,2,0)*IF(OR(F98="",F98=0),1,F98)),0)</f>
        <v/>
      </c>
    </row>
    <row r="99">
      <c r="A99" s="12" t="n"/>
      <c r="B99" s="13" t="n"/>
      <c r="C99" s="14" t="n"/>
      <c r="D99" s="13" t="n"/>
      <c r="E99" s="15" t="n"/>
      <c r="F99" s="16" t="n"/>
      <c r="G99" s="11">
        <f>IFERROR(E99/(C99*VLOOKUP(D99,tab_conversao,2,0)*IF(OR(F99="",F99=0),1,F99)),0)</f>
        <v/>
      </c>
    </row>
    <row r="100">
      <c r="A100" s="6" t="n"/>
      <c r="B100" s="7" t="n"/>
      <c r="C100" s="8" t="n"/>
      <c r="D100" s="7" t="n"/>
      <c r="E100" s="9" t="n"/>
      <c r="F100" s="10" t="n"/>
      <c r="G100" s="11">
        <f>IFERROR(E100/(C100*VLOOKUP(D100,tab_conversao,2,0)*IF(OR(F100="",F100=0),1,F100)),0)</f>
        <v/>
      </c>
    </row>
    <row r="101">
      <c r="A101" s="12" t="n"/>
      <c r="B101" s="13" t="n"/>
      <c r="C101" s="14" t="n"/>
      <c r="D101" s="13" t="n"/>
      <c r="E101" s="15" t="n"/>
      <c r="F101" s="16" t="n"/>
      <c r="G101" s="11">
        <f>IFERROR(E101/(C101*VLOOKUP(D101,tab_conversao,2,0)*IF(OR(F101="",F101=0),1,F101)),0)</f>
        <v/>
      </c>
    </row>
    <row r="102">
      <c r="A102" s="6" t="n"/>
      <c r="B102" s="7" t="n"/>
      <c r="C102" s="8" t="n"/>
      <c r="D102" s="7" t="n"/>
      <c r="E102" s="9" t="n"/>
      <c r="F102" s="10" t="n"/>
      <c r="G102" s="11">
        <f>IFERROR(E102/(C102*VLOOKUP(D102,tab_conversao,2,0)*IF(OR(F102="",F102=0),1,F102)),0)</f>
        <v/>
      </c>
    </row>
    <row r="103">
      <c r="A103" s="12" t="n"/>
      <c r="B103" s="13" t="n"/>
      <c r="C103" s="14" t="n"/>
      <c r="D103" s="13" t="n"/>
      <c r="E103" s="15" t="n"/>
      <c r="F103" s="16" t="n"/>
      <c r="G103" s="11">
        <f>IFERROR(E103/(C103*VLOOKUP(D103,tab_conversao,2,0)*IF(OR(F103="",F103=0),1,F103)),0)</f>
        <v/>
      </c>
    </row>
    <row r="104">
      <c r="A104" s="6" t="n"/>
      <c r="B104" s="7" t="n"/>
      <c r="C104" s="8" t="n"/>
      <c r="D104" s="7" t="n"/>
      <c r="E104" s="9" t="n"/>
      <c r="F104" s="10" t="n"/>
      <c r="G104" s="11">
        <f>IFERROR(E104/(C104*VLOOKUP(D104,tab_conversao,2,0)*IF(OR(F104="",F104=0),1,F104)),0)</f>
        <v/>
      </c>
    </row>
    <row r="105">
      <c r="A105" s="12" t="n"/>
      <c r="B105" s="13" t="n"/>
      <c r="C105" s="14" t="n"/>
      <c r="D105" s="13" t="n"/>
      <c r="E105" s="15" t="n"/>
      <c r="F105" s="16" t="n"/>
      <c r="G105" s="11">
        <f>IFERROR(E105/(C105*VLOOKUP(D105,tab_conversao,2,0)*IF(OR(F105="",F105=0),1,F105)),0)</f>
        <v/>
      </c>
    </row>
    <row r="106">
      <c r="A106" s="6" t="n"/>
      <c r="B106" s="7" t="n"/>
      <c r="C106" s="8" t="n"/>
      <c r="D106" s="7" t="n"/>
      <c r="E106" s="9" t="n"/>
      <c r="F106" s="10" t="n"/>
      <c r="G106" s="11">
        <f>IFERROR(E106/(C106*VLOOKUP(D106,tab_conversao,2,0)*IF(OR(F106="",F106=0),1,F106)),0)</f>
        <v/>
      </c>
    </row>
    <row r="107">
      <c r="A107" s="12" t="n"/>
      <c r="B107" s="13" t="n"/>
      <c r="C107" s="14" t="n"/>
      <c r="D107" s="13" t="n"/>
      <c r="E107" s="15" t="n"/>
      <c r="F107" s="16" t="n"/>
      <c r="G107" s="11">
        <f>IFERROR(E107/(C107*VLOOKUP(D107,tab_conversao,2,0)*IF(OR(F107="",F107=0),1,F107)),0)</f>
        <v/>
      </c>
    </row>
    <row r="108">
      <c r="A108" s="6" t="n"/>
      <c r="B108" s="7" t="n"/>
      <c r="C108" s="8" t="n"/>
      <c r="D108" s="7" t="n"/>
      <c r="E108" s="9" t="n"/>
      <c r="F108" s="10" t="n"/>
      <c r="G108" s="11">
        <f>IFERROR(E108/(C108*VLOOKUP(D108,tab_conversao,2,0)*IF(OR(F108="",F108=0),1,F108)),0)</f>
        <v/>
      </c>
    </row>
    <row r="109">
      <c r="A109" s="12" t="n"/>
      <c r="B109" s="13" t="n"/>
      <c r="C109" s="14" t="n"/>
      <c r="D109" s="13" t="n"/>
      <c r="E109" s="15" t="n"/>
      <c r="F109" s="16" t="n"/>
      <c r="G109" s="11">
        <f>IFERROR(E109/(C109*VLOOKUP(D109,tab_conversao,2,0)*IF(OR(F109="",F109=0),1,F109)),0)</f>
        <v/>
      </c>
    </row>
    <row r="110">
      <c r="A110" s="6" t="n"/>
      <c r="B110" s="7" t="n"/>
      <c r="C110" s="8" t="n"/>
      <c r="D110" s="7" t="n"/>
      <c r="E110" s="9" t="n"/>
      <c r="F110" s="10" t="n"/>
      <c r="G110" s="11">
        <f>IFERROR(E110/(C110*VLOOKUP(D110,tab_conversao,2,0)*IF(OR(F110="",F110=0),1,F110)),0)</f>
        <v/>
      </c>
    </row>
    <row r="111">
      <c r="A111" s="12" t="n"/>
      <c r="B111" s="13" t="n"/>
      <c r="C111" s="14" t="n"/>
      <c r="D111" s="13" t="n"/>
      <c r="E111" s="15" t="n"/>
      <c r="F111" s="16" t="n"/>
      <c r="G111" s="11">
        <f>IFERROR(E111/(C111*VLOOKUP(D111,tab_conversao,2,0)*IF(OR(F111="",F111=0),1,F111)),0)</f>
        <v/>
      </c>
    </row>
    <row r="112">
      <c r="A112" s="6" t="n"/>
      <c r="B112" s="7" t="n"/>
      <c r="C112" s="8" t="n"/>
      <c r="D112" s="7" t="n"/>
      <c r="E112" s="9" t="n"/>
      <c r="F112" s="10" t="n"/>
      <c r="G112" s="11">
        <f>IFERROR(E112/(C112*VLOOKUP(D112,tab_conversao,2,0)*IF(OR(F112="",F112=0),1,F112)),0)</f>
        <v/>
      </c>
    </row>
    <row r="113">
      <c r="A113" s="12" t="n"/>
      <c r="B113" s="13" t="n"/>
      <c r="C113" s="14" t="n"/>
      <c r="D113" s="13" t="n"/>
      <c r="E113" s="15" t="n"/>
      <c r="F113" s="16" t="n"/>
      <c r="G113" s="11">
        <f>IFERROR(E113/(C113*VLOOKUP(D113,tab_conversao,2,0)*IF(OR(F113="",F113=0),1,F113)),0)</f>
        <v/>
      </c>
    </row>
    <row r="114">
      <c r="A114" s="6" t="n"/>
      <c r="B114" s="7" t="n"/>
      <c r="C114" s="8" t="n"/>
      <c r="D114" s="7" t="n"/>
      <c r="E114" s="9" t="n"/>
      <c r="F114" s="10" t="n"/>
      <c r="G114" s="11">
        <f>IFERROR(E114/(C114*VLOOKUP(D114,tab_conversao,2,0)*IF(OR(F114="",F114=0),1,F114)),0)</f>
        <v/>
      </c>
    </row>
    <row r="115">
      <c r="A115" s="12" t="n"/>
      <c r="B115" s="13" t="n"/>
      <c r="C115" s="14" t="n"/>
      <c r="D115" s="13" t="n"/>
      <c r="E115" s="15" t="n"/>
      <c r="F115" s="16" t="n"/>
      <c r="G115" s="11">
        <f>IFERROR(E115/(C115*VLOOKUP(D115,tab_conversao,2,0)*IF(OR(F115="",F115=0),1,F115)),0)</f>
        <v/>
      </c>
    </row>
    <row r="116">
      <c r="A116" s="6" t="n"/>
      <c r="B116" s="7" t="n"/>
      <c r="C116" s="8" t="n"/>
      <c r="D116" s="7" t="n"/>
      <c r="E116" s="9" t="n"/>
      <c r="F116" s="10" t="n"/>
      <c r="G116" s="11">
        <f>IFERROR(E116/(C116*VLOOKUP(D116,tab_conversao,2,0)*IF(OR(F116="",F116=0),1,F116)),0)</f>
        <v/>
      </c>
    </row>
    <row r="117">
      <c r="A117" s="12" t="n"/>
      <c r="B117" s="13" t="n"/>
      <c r="C117" s="14" t="n"/>
      <c r="D117" s="13" t="n"/>
      <c r="E117" s="15" t="n"/>
      <c r="F117" s="16" t="n"/>
      <c r="G117" s="11">
        <f>IFERROR(E117/(C117*VLOOKUP(D117,tab_conversao,2,0)*IF(OR(F117="",F117=0),1,F117)),0)</f>
        <v/>
      </c>
    </row>
    <row r="118">
      <c r="A118" s="6" t="n"/>
      <c r="B118" s="7" t="n"/>
      <c r="C118" s="8" t="n"/>
      <c r="D118" s="7" t="n"/>
      <c r="E118" s="9" t="n"/>
      <c r="F118" s="10" t="n"/>
      <c r="G118" s="11">
        <f>IFERROR(E118/(C118*VLOOKUP(D118,tab_conversao,2,0)*IF(OR(F118="",F118=0),1,F118)),0)</f>
        <v/>
      </c>
    </row>
    <row r="119">
      <c r="A119" s="12" t="n"/>
      <c r="B119" s="13" t="n"/>
      <c r="C119" s="14" t="n"/>
      <c r="D119" s="13" t="n"/>
      <c r="E119" s="15" t="n"/>
      <c r="F119" s="16" t="n"/>
      <c r="G119" s="11">
        <f>IFERROR(E119/(C119*VLOOKUP(D119,tab_conversao,2,0)*IF(OR(F119="",F119=0),1,F119)),0)</f>
        <v/>
      </c>
    </row>
    <row r="120">
      <c r="A120" s="6" t="n"/>
      <c r="B120" s="7" t="n"/>
      <c r="C120" s="8" t="n"/>
      <c r="D120" s="7" t="n"/>
      <c r="E120" s="9" t="n"/>
      <c r="F120" s="10" t="n"/>
      <c r="G120" s="11">
        <f>IFERROR(E120/(C120*VLOOKUP(D120,tab_conversao,2,0)*IF(OR(F120="",F120=0),1,F120)),0)</f>
        <v/>
      </c>
    </row>
    <row r="121">
      <c r="A121" s="12" t="n"/>
      <c r="B121" s="13" t="n"/>
      <c r="C121" s="14" t="n"/>
      <c r="D121" s="13" t="n"/>
      <c r="E121" s="15" t="n"/>
      <c r="F121" s="16" t="n"/>
      <c r="G121" s="11">
        <f>IFERROR(E121/(C121*VLOOKUP(D121,tab_conversao,2,0)*IF(OR(F121="",F121=0),1,F121)),0)</f>
        <v/>
      </c>
    </row>
    <row r="122">
      <c r="A122" s="6" t="n"/>
      <c r="B122" s="7" t="n"/>
      <c r="C122" s="8" t="n"/>
      <c r="D122" s="7" t="n"/>
      <c r="E122" s="9" t="n"/>
      <c r="F122" s="10" t="n"/>
      <c r="G122" s="11">
        <f>IFERROR(E122/(C122*VLOOKUP(D122,tab_conversao,2,0)*IF(OR(F122="",F122=0),1,F122)),0)</f>
        <v/>
      </c>
    </row>
    <row r="123">
      <c r="A123" s="12" t="n"/>
      <c r="B123" s="13" t="n"/>
      <c r="C123" s="14" t="n"/>
      <c r="D123" s="13" t="n"/>
      <c r="E123" s="15" t="n"/>
      <c r="F123" s="16" t="n"/>
      <c r="G123" s="11">
        <f>IFERROR(E123/(C123*VLOOKUP(D123,tab_conversao,2,0)*IF(OR(F123="",F123=0),1,F123)),0)</f>
        <v/>
      </c>
    </row>
    <row r="124">
      <c r="A124" s="6" t="n"/>
      <c r="B124" s="7" t="n"/>
      <c r="C124" s="8" t="n"/>
      <c r="D124" s="7" t="n"/>
      <c r="E124" s="9" t="n"/>
      <c r="F124" s="10" t="n"/>
      <c r="G124" s="11">
        <f>IFERROR(E124/(C124*VLOOKUP(D124,tab_conversao,2,0)*IF(OR(F124="",F124=0),1,F124)),0)</f>
        <v/>
      </c>
    </row>
    <row r="125">
      <c r="A125" s="12" t="n"/>
      <c r="B125" s="13" t="n"/>
      <c r="C125" s="14" t="n"/>
      <c r="D125" s="13" t="n"/>
      <c r="E125" s="15" t="n"/>
      <c r="F125" s="16" t="n"/>
      <c r="G125" s="11">
        <f>IFERROR(E125/(C125*VLOOKUP(D125,tab_conversao,2,0)*IF(OR(F125="",F125=0),1,F125)),0)</f>
        <v/>
      </c>
    </row>
    <row r="126">
      <c r="A126" s="6" t="n"/>
      <c r="B126" s="7" t="n"/>
      <c r="C126" s="8" t="n"/>
      <c r="D126" s="7" t="n"/>
      <c r="E126" s="9" t="n"/>
      <c r="F126" s="10" t="n"/>
      <c r="G126" s="11">
        <f>IFERROR(E126/(C126*VLOOKUP(D126,tab_conversao,2,0)*IF(OR(F126="",F126=0),1,F126)),0)</f>
        <v/>
      </c>
    </row>
    <row r="127">
      <c r="A127" s="12" t="n"/>
      <c r="B127" s="13" t="n"/>
      <c r="C127" s="14" t="n"/>
      <c r="D127" s="13" t="n"/>
      <c r="E127" s="15" t="n"/>
      <c r="F127" s="16" t="n"/>
      <c r="G127" s="11">
        <f>IFERROR(E127/(C127*VLOOKUP(D127,tab_conversao,2,0)*IF(OR(F127="",F127=0),1,F127)),0)</f>
        <v/>
      </c>
    </row>
    <row r="128">
      <c r="A128" s="6" t="n"/>
      <c r="B128" s="7" t="n"/>
      <c r="C128" s="8" t="n"/>
      <c r="D128" s="7" t="n"/>
      <c r="E128" s="9" t="n"/>
      <c r="F128" s="10" t="n"/>
      <c r="G128" s="11">
        <f>IFERROR(E128/(C128*VLOOKUP(D128,tab_conversao,2,0)*IF(OR(F128="",F128=0),1,F128)),0)</f>
        <v/>
      </c>
    </row>
    <row r="129">
      <c r="A129" s="12" t="n"/>
      <c r="B129" s="13" t="n"/>
      <c r="C129" s="14" t="n"/>
      <c r="D129" s="13" t="n"/>
      <c r="E129" s="15" t="n"/>
      <c r="F129" s="16" t="n"/>
      <c r="G129" s="11">
        <f>IFERROR(E129/(C129*VLOOKUP(D129,tab_conversao,2,0)*IF(OR(F129="",F129=0),1,F129)),0)</f>
        <v/>
      </c>
    </row>
    <row r="130">
      <c r="A130" s="6" t="n"/>
      <c r="B130" s="7" t="n"/>
      <c r="C130" s="8" t="n"/>
      <c r="D130" s="7" t="n"/>
      <c r="E130" s="9" t="n"/>
      <c r="F130" s="10" t="n"/>
      <c r="G130" s="11">
        <f>IFERROR(E130/(C130*VLOOKUP(D130,tab_conversao,2,0)*IF(OR(F130="",F130=0),1,F130)),0)</f>
        <v/>
      </c>
    </row>
    <row r="131">
      <c r="A131" s="12" t="n"/>
      <c r="B131" s="13" t="n"/>
      <c r="C131" s="14" t="n"/>
      <c r="D131" s="13" t="n"/>
      <c r="E131" s="15" t="n"/>
      <c r="F131" s="16" t="n"/>
      <c r="G131" s="11">
        <f>IFERROR(E131/(C131*VLOOKUP(D131,tab_conversao,2,0)*IF(OR(F131="",F131=0),1,F131)),0)</f>
        <v/>
      </c>
    </row>
    <row r="132">
      <c r="A132" s="6" t="n"/>
      <c r="B132" s="7" t="n"/>
      <c r="C132" s="8" t="n"/>
      <c r="D132" s="7" t="n"/>
      <c r="E132" s="9" t="n"/>
      <c r="F132" s="10" t="n"/>
      <c r="G132" s="11">
        <f>IFERROR(E132/(C132*VLOOKUP(D132,tab_conversao,2,0)*IF(OR(F132="",F132=0),1,F132)),0)</f>
        <v/>
      </c>
    </row>
    <row r="133">
      <c r="A133" s="12" t="n"/>
      <c r="B133" s="13" t="n"/>
      <c r="C133" s="14" t="n"/>
      <c r="D133" s="13" t="n"/>
      <c r="E133" s="15" t="n"/>
      <c r="F133" s="16" t="n"/>
      <c r="G133" s="11">
        <f>IFERROR(E133/(C133*VLOOKUP(D133,tab_conversao,2,0)*IF(OR(F133="",F133=0),1,F133)),0)</f>
        <v/>
      </c>
    </row>
    <row r="134">
      <c r="A134" s="6" t="n"/>
      <c r="B134" s="7" t="n"/>
      <c r="C134" s="8" t="n"/>
      <c r="D134" s="7" t="n"/>
      <c r="E134" s="9" t="n"/>
      <c r="F134" s="10" t="n"/>
      <c r="G134" s="11">
        <f>IFERROR(E134/(C134*VLOOKUP(D134,tab_conversao,2,0)*IF(OR(F134="",F134=0),1,F134)),0)</f>
        <v/>
      </c>
    </row>
    <row r="135">
      <c r="A135" s="12" t="n"/>
      <c r="B135" s="13" t="n"/>
      <c r="C135" s="14" t="n"/>
      <c r="D135" s="13" t="n"/>
      <c r="E135" s="15" t="n"/>
      <c r="F135" s="16" t="n"/>
      <c r="G135" s="11">
        <f>IFERROR(E135/(C135*VLOOKUP(D135,tab_conversao,2,0)*IF(OR(F135="",F135=0),1,F135)),0)</f>
        <v/>
      </c>
    </row>
    <row r="136">
      <c r="A136" s="6" t="n"/>
      <c r="B136" s="7" t="n"/>
      <c r="C136" s="8" t="n"/>
      <c r="D136" s="7" t="n"/>
      <c r="E136" s="9" t="n"/>
      <c r="F136" s="10" t="n"/>
      <c r="G136" s="11">
        <f>IFERROR(E136/(C136*VLOOKUP(D136,tab_conversao,2,0)*IF(OR(F136="",F136=0),1,F136)),0)</f>
        <v/>
      </c>
    </row>
    <row r="137">
      <c r="A137" s="12" t="n"/>
      <c r="B137" s="13" t="n"/>
      <c r="C137" s="14" t="n"/>
      <c r="D137" s="13" t="n"/>
      <c r="E137" s="15" t="n"/>
      <c r="F137" s="16" t="n"/>
      <c r="G137" s="11">
        <f>IFERROR(E137/(C137*VLOOKUP(D137,tab_conversao,2,0)*IF(OR(F137="",F137=0),1,F137)),0)</f>
        <v/>
      </c>
    </row>
    <row r="138">
      <c r="A138" s="6" t="n"/>
      <c r="B138" s="7" t="n"/>
      <c r="C138" s="8" t="n"/>
      <c r="D138" s="7" t="n"/>
      <c r="E138" s="9" t="n"/>
      <c r="F138" s="10" t="n"/>
      <c r="G138" s="11">
        <f>IFERROR(E138/(C138*VLOOKUP(D138,tab_conversao,2,0)*IF(OR(F138="",F138=0),1,F138)),0)</f>
        <v/>
      </c>
    </row>
    <row r="139">
      <c r="A139" s="12" t="n"/>
      <c r="B139" s="13" t="n"/>
      <c r="C139" s="14" t="n"/>
      <c r="D139" s="13" t="n"/>
      <c r="E139" s="15" t="n"/>
      <c r="F139" s="16" t="n"/>
      <c r="G139" s="11">
        <f>IFERROR(E139/(C139*VLOOKUP(D139,tab_conversao,2,0)*IF(OR(F139="",F139=0),1,F139)),0)</f>
        <v/>
      </c>
    </row>
    <row r="140">
      <c r="A140" s="6" t="n"/>
      <c r="B140" s="7" t="n"/>
      <c r="C140" s="8" t="n"/>
      <c r="D140" s="7" t="n"/>
      <c r="E140" s="9" t="n"/>
      <c r="F140" s="10" t="n"/>
      <c r="G140" s="11">
        <f>IFERROR(E140/(C140*VLOOKUP(D140,tab_conversao,2,0)*IF(OR(F140="",F140=0),1,F140)),0)</f>
        <v/>
      </c>
    </row>
    <row r="141">
      <c r="A141" s="12" t="n"/>
      <c r="B141" s="13" t="n"/>
      <c r="C141" s="14" t="n"/>
      <c r="D141" s="13" t="n"/>
      <c r="E141" s="15" t="n"/>
      <c r="F141" s="16" t="n"/>
      <c r="G141" s="11">
        <f>IFERROR(E141/(C141*VLOOKUP(D141,tab_conversao,2,0)*IF(OR(F141="",F141=0),1,F141)),0)</f>
        <v/>
      </c>
    </row>
    <row r="142">
      <c r="A142" s="6" t="n"/>
      <c r="B142" s="7" t="n"/>
      <c r="C142" s="8" t="n"/>
      <c r="D142" s="7" t="n"/>
      <c r="E142" s="9" t="n"/>
      <c r="F142" s="10" t="n"/>
      <c r="G142" s="11">
        <f>IFERROR(E142/(C142*VLOOKUP(D142,tab_conversao,2,0)*IF(OR(F142="",F142=0),1,F142)),0)</f>
        <v/>
      </c>
    </row>
    <row r="143">
      <c r="A143" s="12" t="n"/>
      <c r="B143" s="13" t="n"/>
      <c r="C143" s="14" t="n"/>
      <c r="D143" s="13" t="n"/>
      <c r="E143" s="15" t="n"/>
      <c r="F143" s="16" t="n"/>
      <c r="G143" s="11">
        <f>IFERROR(E143/(C143*VLOOKUP(D143,tab_conversao,2,0)*IF(OR(F143="",F143=0),1,F143)),0)</f>
        <v/>
      </c>
    </row>
    <row r="144">
      <c r="A144" s="6" t="n"/>
      <c r="B144" s="7" t="n"/>
      <c r="C144" s="8" t="n"/>
      <c r="D144" s="7" t="n"/>
      <c r="E144" s="9" t="n"/>
      <c r="F144" s="10" t="n"/>
      <c r="G144" s="11">
        <f>IFERROR(E144/(C144*VLOOKUP(D144,tab_conversao,2,0)*IF(OR(F144="",F144=0),1,F144)),0)</f>
        <v/>
      </c>
    </row>
    <row r="145">
      <c r="A145" s="12" t="n"/>
      <c r="B145" s="13" t="n"/>
      <c r="C145" s="14" t="n"/>
      <c r="D145" s="13" t="n"/>
      <c r="E145" s="15" t="n"/>
      <c r="F145" s="16" t="n"/>
      <c r="G145" s="11">
        <f>IFERROR(E145/(C145*VLOOKUP(D145,tab_conversao,2,0)*IF(OR(F145="",F145=0),1,F145)),0)</f>
        <v/>
      </c>
    </row>
    <row r="146">
      <c r="A146" s="6" t="n"/>
      <c r="B146" s="7" t="n"/>
      <c r="C146" s="8" t="n"/>
      <c r="D146" s="7" t="n"/>
      <c r="E146" s="9" t="n"/>
      <c r="F146" s="10" t="n"/>
      <c r="G146" s="11">
        <f>IFERROR(E146/(C146*VLOOKUP(D146,tab_conversao,2,0)*IF(OR(F146="",F146=0),1,F146)),0)</f>
        <v/>
      </c>
    </row>
    <row r="147">
      <c r="A147" s="12" t="n"/>
      <c r="B147" s="13" t="n"/>
      <c r="C147" s="14" t="n"/>
      <c r="D147" s="13" t="n"/>
      <c r="E147" s="15" t="n"/>
      <c r="F147" s="16" t="n"/>
      <c r="G147" s="11">
        <f>IFERROR(E147/(C147*VLOOKUP(D147,tab_conversao,2,0)*IF(OR(F147="",F147=0),1,F147)),0)</f>
        <v/>
      </c>
    </row>
    <row r="148">
      <c r="A148" s="6" t="n"/>
      <c r="B148" s="7" t="n"/>
      <c r="C148" s="8" t="n"/>
      <c r="D148" s="7" t="n"/>
      <c r="E148" s="9" t="n"/>
      <c r="F148" s="10" t="n"/>
      <c r="G148" s="11">
        <f>IFERROR(E148/(C148*VLOOKUP(D148,tab_conversao,2,0)*IF(OR(F148="",F148=0),1,F148)),0)</f>
        <v/>
      </c>
    </row>
    <row r="149">
      <c r="A149" s="12" t="n"/>
      <c r="B149" s="13" t="n"/>
      <c r="C149" s="14" t="n"/>
      <c r="D149" s="13" t="n"/>
      <c r="E149" s="15" t="n"/>
      <c r="F149" s="16" t="n"/>
      <c r="G149" s="11">
        <f>IFERROR(E149/(C149*VLOOKUP(D149,tab_conversao,2,0)*IF(OR(F149="",F149=0),1,F149)),0)</f>
        <v/>
      </c>
    </row>
    <row r="150">
      <c r="A150" s="6" t="n"/>
      <c r="B150" s="7" t="n"/>
      <c r="C150" s="8" t="n"/>
      <c r="D150" s="7" t="n"/>
      <c r="E150" s="9" t="n"/>
      <c r="F150" s="10" t="n"/>
      <c r="G150" s="11">
        <f>IFERROR(E150/(C150*VLOOKUP(D150,tab_conversao,2,0)*IF(OR(F150="",F150=0),1,F150)),0)</f>
        <v/>
      </c>
    </row>
    <row r="151">
      <c r="A151" s="12" t="n"/>
      <c r="B151" s="13" t="n"/>
      <c r="C151" s="14" t="n"/>
      <c r="D151" s="13" t="n"/>
      <c r="E151" s="15" t="n"/>
      <c r="F151" s="16" t="n"/>
      <c r="G151" s="11">
        <f>IFERROR(E151/(C151*VLOOKUP(D151,tab_conversao,2,0)*IF(OR(F151="",F151=0),1,F151)),0)</f>
        <v/>
      </c>
    </row>
    <row r="152">
      <c r="A152" s="6" t="n"/>
      <c r="B152" s="7" t="n"/>
      <c r="C152" s="8" t="n"/>
      <c r="D152" s="7" t="n"/>
      <c r="E152" s="9" t="n"/>
      <c r="F152" s="10" t="n"/>
      <c r="G152" s="11">
        <f>IFERROR(E152/(C152*VLOOKUP(D152,tab_conversao,2,0)*IF(OR(F152="",F152=0),1,F152)),0)</f>
        <v/>
      </c>
    </row>
    <row r="153">
      <c r="A153" s="12" t="n"/>
      <c r="B153" s="13" t="n"/>
      <c r="C153" s="14" t="n"/>
      <c r="D153" s="13" t="n"/>
      <c r="E153" s="15" t="n"/>
      <c r="F153" s="16" t="n"/>
      <c r="G153" s="11">
        <f>IFERROR(E153/(C153*VLOOKUP(D153,tab_conversao,2,0)*IF(OR(F153="",F153=0),1,F153)),0)</f>
        <v/>
      </c>
    </row>
    <row r="154">
      <c r="A154" s="6" t="n"/>
      <c r="B154" s="7" t="n"/>
      <c r="C154" s="8" t="n"/>
      <c r="D154" s="7" t="n"/>
      <c r="E154" s="9" t="n"/>
      <c r="F154" s="10" t="n"/>
      <c r="G154" s="11">
        <f>IFERROR(E154/(C154*VLOOKUP(D154,tab_conversao,2,0)*IF(OR(F154="",F154=0),1,F154)),0)</f>
        <v/>
      </c>
    </row>
    <row r="155">
      <c r="A155" s="12" t="n"/>
      <c r="B155" s="13" t="n"/>
      <c r="C155" s="14" t="n"/>
      <c r="D155" s="13" t="n"/>
      <c r="E155" s="15" t="n"/>
      <c r="F155" s="16" t="n"/>
      <c r="G155" s="11">
        <f>IFERROR(E155/(C155*VLOOKUP(D155,tab_conversao,2,0)*IF(OR(F155="",F155=0),1,F155)),0)</f>
        <v/>
      </c>
    </row>
    <row r="156">
      <c r="A156" s="6" t="n"/>
      <c r="B156" s="7" t="n"/>
      <c r="C156" s="8" t="n"/>
      <c r="D156" s="7" t="n"/>
      <c r="E156" s="9" t="n"/>
      <c r="F156" s="10" t="n"/>
      <c r="G156" s="11">
        <f>IFERROR(E156/(C156*VLOOKUP(D156,tab_conversao,2,0)*IF(OR(F156="",F156=0),1,F156)),0)</f>
        <v/>
      </c>
    </row>
    <row r="157">
      <c r="A157" s="12" t="n"/>
      <c r="B157" s="13" t="n"/>
      <c r="C157" s="14" t="n"/>
      <c r="D157" s="13" t="n"/>
      <c r="E157" s="15" t="n"/>
      <c r="F157" s="16" t="n"/>
      <c r="G157" s="11">
        <f>IFERROR(E157/(C157*VLOOKUP(D157,tab_conversao,2,0)*IF(OR(F157="",F157=0),1,F157)),0)</f>
        <v/>
      </c>
    </row>
    <row r="158">
      <c r="A158" s="6" t="n"/>
      <c r="B158" s="7" t="n"/>
      <c r="C158" s="8" t="n"/>
      <c r="D158" s="7" t="n"/>
      <c r="E158" s="9" t="n"/>
      <c r="F158" s="10" t="n"/>
      <c r="G158" s="11">
        <f>IFERROR(E158/(C158*VLOOKUP(D158,tab_conversao,2,0)*IF(OR(F158="",F158=0),1,F158)),0)</f>
        <v/>
      </c>
    </row>
    <row r="159">
      <c r="A159" s="12" t="n"/>
      <c r="B159" s="13" t="n"/>
      <c r="C159" s="14" t="n"/>
      <c r="D159" s="13" t="n"/>
      <c r="E159" s="15" t="n"/>
      <c r="F159" s="16" t="n"/>
      <c r="G159" s="11">
        <f>IFERROR(E159/(C159*VLOOKUP(D159,tab_conversao,2,0)*IF(OR(F159="",F159=0),1,F159)),0)</f>
        <v/>
      </c>
    </row>
    <row r="160">
      <c r="A160" s="6" t="n"/>
      <c r="B160" s="7" t="n"/>
      <c r="C160" s="8" t="n"/>
      <c r="D160" s="7" t="n"/>
      <c r="E160" s="9" t="n"/>
      <c r="F160" s="10" t="n"/>
      <c r="G160" s="11">
        <f>IFERROR(E160/(C160*VLOOKUP(D160,tab_conversao,2,0)*IF(OR(F160="",F160=0),1,F160)),0)</f>
        <v/>
      </c>
    </row>
    <row r="161">
      <c r="A161" s="12" t="n"/>
      <c r="B161" s="13" t="n"/>
      <c r="C161" s="14" t="n"/>
      <c r="D161" s="13" t="n"/>
      <c r="E161" s="15" t="n"/>
      <c r="F161" s="16" t="n"/>
      <c r="G161" s="11">
        <f>IFERROR(E161/(C161*VLOOKUP(D161,tab_conversao,2,0)*IF(OR(F161="",F161=0),1,F161)),0)</f>
        <v/>
      </c>
    </row>
    <row r="162">
      <c r="A162" s="6" t="n"/>
      <c r="B162" s="7" t="n"/>
      <c r="C162" s="8" t="n"/>
      <c r="D162" s="7" t="n"/>
      <c r="E162" s="9" t="n"/>
      <c r="F162" s="10" t="n"/>
      <c r="G162" s="11">
        <f>IFERROR(E162/(C162*VLOOKUP(D162,tab_conversao,2,0)*IF(OR(F162="",F162=0),1,F162)),0)</f>
        <v/>
      </c>
    </row>
    <row r="163">
      <c r="A163" s="12" t="n"/>
      <c r="B163" s="13" t="n"/>
      <c r="C163" s="14" t="n"/>
      <c r="D163" s="13" t="n"/>
      <c r="E163" s="15" t="n"/>
      <c r="F163" s="16" t="n"/>
      <c r="G163" s="11">
        <f>IFERROR(E163/(C163*VLOOKUP(D163,tab_conversao,2,0)*IF(OR(F163="",F163=0),1,F163)),0)</f>
        <v/>
      </c>
    </row>
    <row r="164">
      <c r="A164" s="6" t="n"/>
      <c r="B164" s="7" t="n"/>
      <c r="C164" s="8" t="n"/>
      <c r="D164" s="7" t="n"/>
      <c r="E164" s="9" t="n"/>
      <c r="F164" s="10" t="n"/>
      <c r="G164" s="11">
        <f>IFERROR(E164/(C164*VLOOKUP(D164,tab_conversao,2,0)*IF(OR(F164="",F164=0),1,F164)),0)</f>
        <v/>
      </c>
    </row>
    <row r="165">
      <c r="A165" s="12" t="n"/>
      <c r="B165" s="13" t="n"/>
      <c r="C165" s="14" t="n"/>
      <c r="D165" s="13" t="n"/>
      <c r="E165" s="15" t="n"/>
      <c r="F165" s="16" t="n"/>
      <c r="G165" s="11">
        <f>IFERROR(E165/(C165*VLOOKUP(D165,tab_conversao,2,0)*IF(OR(F165="",F165=0),1,F165)),0)</f>
        <v/>
      </c>
    </row>
    <row r="166">
      <c r="A166" s="6" t="n"/>
      <c r="B166" s="7" t="n"/>
      <c r="C166" s="8" t="n"/>
      <c r="D166" s="7" t="n"/>
      <c r="E166" s="9" t="n"/>
      <c r="F166" s="10" t="n"/>
      <c r="G166" s="11">
        <f>IFERROR(E166/(C166*VLOOKUP(D166,tab_conversao,2,0)*IF(OR(F166="",F166=0),1,F166)),0)</f>
        <v/>
      </c>
    </row>
    <row r="167">
      <c r="A167" s="12" t="n"/>
      <c r="B167" s="13" t="n"/>
      <c r="C167" s="14" t="n"/>
      <c r="D167" s="13" t="n"/>
      <c r="E167" s="15" t="n"/>
      <c r="F167" s="16" t="n"/>
      <c r="G167" s="11">
        <f>IFERROR(E167/(C167*VLOOKUP(D167,tab_conversao,2,0)*IF(OR(F167="",F167=0),1,F167)),0)</f>
        <v/>
      </c>
    </row>
    <row r="168">
      <c r="A168" s="6" t="n"/>
      <c r="B168" s="7" t="n"/>
      <c r="C168" s="8" t="n"/>
      <c r="D168" s="7" t="n"/>
      <c r="E168" s="9" t="n"/>
      <c r="F168" s="10" t="n"/>
      <c r="G168" s="11">
        <f>IFERROR(E168/(C168*VLOOKUP(D168,tab_conversao,2,0)*IF(OR(F168="",F168=0),1,F168)),0)</f>
        <v/>
      </c>
    </row>
    <row r="169">
      <c r="A169" s="12" t="n"/>
      <c r="B169" s="13" t="n"/>
      <c r="C169" s="14" t="n"/>
      <c r="D169" s="13" t="n"/>
      <c r="E169" s="15" t="n"/>
      <c r="F169" s="16" t="n"/>
      <c r="G169" s="11">
        <f>IFERROR(E169/(C169*VLOOKUP(D169,tab_conversao,2,0)*IF(OR(F169="",F169=0),1,F169)),0)</f>
        <v/>
      </c>
    </row>
    <row r="170">
      <c r="A170" s="6" t="n"/>
      <c r="B170" s="7" t="n"/>
      <c r="C170" s="8" t="n"/>
      <c r="D170" s="7" t="n"/>
      <c r="E170" s="9" t="n"/>
      <c r="F170" s="10" t="n"/>
      <c r="G170" s="11">
        <f>IFERROR(E170/(C170*VLOOKUP(D170,tab_conversao,2,0)*IF(OR(F170="",F170=0),1,F170)),0)</f>
        <v/>
      </c>
    </row>
    <row r="171">
      <c r="A171" s="12" t="n"/>
      <c r="B171" s="13" t="n"/>
      <c r="C171" s="14" t="n"/>
      <c r="D171" s="13" t="n"/>
      <c r="E171" s="15" t="n"/>
      <c r="F171" s="16" t="n"/>
      <c r="G171" s="11">
        <f>IFERROR(E171/(C171*VLOOKUP(D171,tab_conversao,2,0)*IF(OR(F171="",F171=0),1,F171)),0)</f>
        <v/>
      </c>
    </row>
    <row r="172">
      <c r="A172" s="6" t="n"/>
      <c r="B172" s="7" t="n"/>
      <c r="C172" s="8" t="n"/>
      <c r="D172" s="7" t="n"/>
      <c r="E172" s="9" t="n"/>
      <c r="F172" s="10" t="n"/>
      <c r="G172" s="11">
        <f>IFERROR(E172/(C172*VLOOKUP(D172,tab_conversao,2,0)*IF(OR(F172="",F172=0),1,F172)),0)</f>
        <v/>
      </c>
    </row>
    <row r="173">
      <c r="A173" s="12" t="n"/>
      <c r="B173" s="13" t="n"/>
      <c r="C173" s="14" t="n"/>
      <c r="D173" s="13" t="n"/>
      <c r="E173" s="15" t="n"/>
      <c r="F173" s="16" t="n"/>
      <c r="G173" s="11">
        <f>IFERROR(E173/(C173*VLOOKUP(D173,tab_conversao,2,0)*IF(OR(F173="",F173=0),1,F173)),0)</f>
        <v/>
      </c>
    </row>
    <row r="174">
      <c r="A174" s="6" t="n"/>
      <c r="B174" s="7" t="n"/>
      <c r="C174" s="8" t="n"/>
      <c r="D174" s="7" t="n"/>
      <c r="E174" s="9" t="n"/>
      <c r="F174" s="10" t="n"/>
      <c r="G174" s="11">
        <f>IFERROR(E174/(C174*VLOOKUP(D174,tab_conversao,2,0)*IF(OR(F174="",F174=0),1,F174)),0)</f>
        <v/>
      </c>
    </row>
    <row r="175">
      <c r="A175" s="12" t="n"/>
      <c r="B175" s="13" t="n"/>
      <c r="C175" s="14" t="n"/>
      <c r="D175" s="13" t="n"/>
      <c r="E175" s="15" t="n"/>
      <c r="F175" s="16" t="n"/>
      <c r="G175" s="11">
        <f>IFERROR(E175/(C175*VLOOKUP(D175,tab_conversao,2,0)*IF(OR(F175="",F175=0),1,F175)),0)</f>
        <v/>
      </c>
    </row>
    <row r="176">
      <c r="A176" s="6" t="n"/>
      <c r="B176" s="7" t="n"/>
      <c r="C176" s="8" t="n"/>
      <c r="D176" s="7" t="n"/>
      <c r="E176" s="9" t="n"/>
      <c r="F176" s="10" t="n"/>
      <c r="G176" s="11">
        <f>IFERROR(E176/(C176*VLOOKUP(D176,tab_conversao,2,0)*IF(OR(F176="",F176=0),1,F176)),0)</f>
        <v/>
      </c>
    </row>
    <row r="177">
      <c r="A177" s="12" t="n"/>
      <c r="B177" s="13" t="n"/>
      <c r="C177" s="14" t="n"/>
      <c r="D177" s="13" t="n"/>
      <c r="E177" s="15" t="n"/>
      <c r="F177" s="16" t="n"/>
      <c r="G177" s="11">
        <f>IFERROR(E177/(C177*VLOOKUP(D177,tab_conversao,2,0)*IF(OR(F177="",F177=0),1,F177)),0)</f>
        <v/>
      </c>
    </row>
    <row r="178">
      <c r="A178" s="6" t="n"/>
      <c r="B178" s="7" t="n"/>
      <c r="C178" s="8" t="n"/>
      <c r="D178" s="7" t="n"/>
      <c r="E178" s="9" t="n"/>
      <c r="F178" s="10" t="n"/>
      <c r="G178" s="11">
        <f>IFERROR(E178/(C178*VLOOKUP(D178,tab_conversao,2,0)*IF(OR(F178="",F178=0),1,F178)),0)</f>
        <v/>
      </c>
    </row>
    <row r="179">
      <c r="A179" s="12" t="n"/>
      <c r="B179" s="13" t="n"/>
      <c r="C179" s="14" t="n"/>
      <c r="D179" s="13" t="n"/>
      <c r="E179" s="15" t="n"/>
      <c r="F179" s="16" t="n"/>
      <c r="G179" s="11">
        <f>IFERROR(E179/(C179*VLOOKUP(D179,tab_conversao,2,0)*IF(OR(F179="",F179=0),1,F179)),0)</f>
        <v/>
      </c>
    </row>
    <row r="180">
      <c r="A180" s="6" t="n"/>
      <c r="B180" s="7" t="n"/>
      <c r="C180" s="8" t="n"/>
      <c r="D180" s="7" t="n"/>
      <c r="E180" s="9" t="n"/>
      <c r="F180" s="10" t="n"/>
      <c r="G180" s="11">
        <f>IFERROR(E180/(C180*VLOOKUP(D180,tab_conversao,2,0)*IF(OR(F180="",F180=0),1,F180)),0)</f>
        <v/>
      </c>
    </row>
    <row r="181">
      <c r="A181" s="12" t="n"/>
      <c r="B181" s="13" t="n"/>
      <c r="C181" s="14" t="n"/>
      <c r="D181" s="13" t="n"/>
      <c r="E181" s="15" t="n"/>
      <c r="F181" s="16" t="n"/>
      <c r="G181" s="11">
        <f>IFERROR(E181/(C181*VLOOKUP(D181,tab_conversao,2,0)*IF(OR(F181="",F181=0),1,F181)),0)</f>
        <v/>
      </c>
    </row>
    <row r="182">
      <c r="A182" s="6" t="n"/>
      <c r="B182" s="7" t="n"/>
      <c r="C182" s="8" t="n"/>
      <c r="D182" s="7" t="n"/>
      <c r="E182" s="9" t="n"/>
      <c r="F182" s="10" t="n"/>
      <c r="G182" s="11">
        <f>IFERROR(E182/(C182*VLOOKUP(D182,tab_conversao,2,0)*IF(OR(F182="",F182=0),1,F182)),0)</f>
        <v/>
      </c>
    </row>
    <row r="183">
      <c r="A183" s="12" t="n"/>
      <c r="B183" s="13" t="n"/>
      <c r="C183" s="14" t="n"/>
      <c r="D183" s="13" t="n"/>
      <c r="E183" s="15" t="n"/>
      <c r="F183" s="16" t="n"/>
      <c r="G183" s="11">
        <f>IFERROR(E183/(C183*VLOOKUP(D183,tab_conversao,2,0)*IF(OR(F183="",F183=0),1,F183)),0)</f>
        <v/>
      </c>
    </row>
    <row r="184">
      <c r="A184" s="6" t="n"/>
      <c r="B184" s="7" t="n"/>
      <c r="C184" s="8" t="n"/>
      <c r="D184" s="7" t="n"/>
      <c r="E184" s="9" t="n"/>
      <c r="F184" s="10" t="n"/>
      <c r="G184" s="11">
        <f>IFERROR(E184/(C184*VLOOKUP(D184,tab_conversao,2,0)*IF(OR(F184="",F184=0),1,F184)),0)</f>
        <v/>
      </c>
    </row>
    <row r="185">
      <c r="A185" s="12" t="n"/>
      <c r="B185" s="13" t="n"/>
      <c r="C185" s="14" t="n"/>
      <c r="D185" s="13" t="n"/>
      <c r="E185" s="15" t="n"/>
      <c r="F185" s="16" t="n"/>
      <c r="G185" s="11">
        <f>IFERROR(E185/(C185*VLOOKUP(D185,tab_conversao,2,0)*IF(OR(F185="",F185=0),1,F185)),0)</f>
        <v/>
      </c>
    </row>
    <row r="186">
      <c r="A186" s="6" t="n"/>
      <c r="B186" s="7" t="n"/>
      <c r="C186" s="8" t="n"/>
      <c r="D186" s="7" t="n"/>
      <c r="E186" s="9" t="n"/>
      <c r="F186" s="10" t="n"/>
      <c r="G186" s="11">
        <f>IFERROR(E186/(C186*VLOOKUP(D186,tab_conversao,2,0)*IF(OR(F186="",F186=0),1,F186)),0)</f>
        <v/>
      </c>
    </row>
    <row r="187">
      <c r="A187" s="12" t="n"/>
      <c r="B187" s="13" t="n"/>
      <c r="C187" s="14" t="n"/>
      <c r="D187" s="13" t="n"/>
      <c r="E187" s="15" t="n"/>
      <c r="F187" s="16" t="n"/>
      <c r="G187" s="11">
        <f>IFERROR(E187/(C187*VLOOKUP(D187,tab_conversao,2,0)*IF(OR(F187="",F187=0),1,F187)),0)</f>
        <v/>
      </c>
    </row>
    <row r="188">
      <c r="A188" s="6" t="n"/>
      <c r="B188" s="7" t="n"/>
      <c r="C188" s="8" t="n"/>
      <c r="D188" s="7" t="n"/>
      <c r="E188" s="9" t="n"/>
      <c r="F188" s="10" t="n"/>
      <c r="G188" s="11">
        <f>IFERROR(E188/(C188*VLOOKUP(D188,tab_conversao,2,0)*IF(OR(F188="",F188=0),1,F188)),0)</f>
        <v/>
      </c>
    </row>
    <row r="189">
      <c r="A189" s="12" t="n"/>
      <c r="B189" s="13" t="n"/>
      <c r="C189" s="14" t="n"/>
      <c r="D189" s="13" t="n"/>
      <c r="E189" s="15" t="n"/>
      <c r="F189" s="16" t="n"/>
      <c r="G189" s="11">
        <f>IFERROR(E189/(C189*VLOOKUP(D189,tab_conversao,2,0)*IF(OR(F189="",F189=0),1,F189)),0)</f>
        <v/>
      </c>
    </row>
    <row r="190">
      <c r="A190" s="6" t="n"/>
      <c r="B190" s="7" t="n"/>
      <c r="C190" s="8" t="n"/>
      <c r="D190" s="7" t="n"/>
      <c r="E190" s="9" t="n"/>
      <c r="F190" s="10" t="n"/>
      <c r="G190" s="11">
        <f>IFERROR(E190/(C190*VLOOKUP(D190,tab_conversao,2,0)*IF(OR(F190="",F190=0),1,F190)),0)</f>
        <v/>
      </c>
    </row>
    <row r="191">
      <c r="A191" s="12" t="n"/>
      <c r="B191" s="13" t="n"/>
      <c r="C191" s="14" t="n"/>
      <c r="D191" s="13" t="n"/>
      <c r="E191" s="15" t="n"/>
      <c r="F191" s="16" t="n"/>
      <c r="G191" s="11">
        <f>IFERROR(E191/(C191*VLOOKUP(D191,tab_conversao,2,0)*IF(OR(F191="",F191=0),1,F191)),0)</f>
        <v/>
      </c>
    </row>
    <row r="192">
      <c r="A192" s="6" t="n"/>
      <c r="B192" s="7" t="n"/>
      <c r="C192" s="8" t="n"/>
      <c r="D192" s="7" t="n"/>
      <c r="E192" s="9" t="n"/>
      <c r="F192" s="10" t="n"/>
      <c r="G192" s="11">
        <f>IFERROR(E192/(C192*VLOOKUP(D192,tab_conversao,2,0)*IF(OR(F192="",F192=0),1,F192)),0)</f>
        <v/>
      </c>
    </row>
    <row r="193">
      <c r="A193" s="12" t="n"/>
      <c r="B193" s="13" t="n"/>
      <c r="C193" s="14" t="n"/>
      <c r="D193" s="13" t="n"/>
      <c r="E193" s="15" t="n"/>
      <c r="F193" s="16" t="n"/>
      <c r="G193" s="11">
        <f>IFERROR(E193/(C193*VLOOKUP(D193,tab_conversao,2,0)*IF(OR(F193="",F193=0),1,F193)),0)</f>
        <v/>
      </c>
    </row>
    <row r="194">
      <c r="A194" s="6" t="n"/>
      <c r="B194" s="7" t="n"/>
      <c r="C194" s="8" t="n"/>
      <c r="D194" s="7" t="n"/>
      <c r="E194" s="9" t="n"/>
      <c r="F194" s="10" t="n"/>
      <c r="G194" s="11">
        <f>IFERROR(E194/(C194*VLOOKUP(D194,tab_conversao,2,0)*IF(OR(F194="",F194=0),1,F194)),0)</f>
        <v/>
      </c>
    </row>
    <row r="195">
      <c r="A195" s="12" t="n"/>
      <c r="B195" s="13" t="n"/>
      <c r="C195" s="14" t="n"/>
      <c r="D195" s="13" t="n"/>
      <c r="E195" s="15" t="n"/>
      <c r="F195" s="16" t="n"/>
      <c r="G195" s="11">
        <f>IFERROR(E195/(C195*VLOOKUP(D195,tab_conversao,2,0)*IF(OR(F195="",F195=0),1,F195)),0)</f>
        <v/>
      </c>
    </row>
    <row r="196">
      <c r="A196" s="6" t="n"/>
      <c r="B196" s="7" t="n"/>
      <c r="C196" s="8" t="n"/>
      <c r="D196" s="7" t="n"/>
      <c r="E196" s="9" t="n"/>
      <c r="F196" s="10" t="n"/>
      <c r="G196" s="11">
        <f>IFERROR(E196/(C196*VLOOKUP(D196,tab_conversao,2,0)*IF(OR(F196="",F196=0),1,F196)),0)</f>
        <v/>
      </c>
    </row>
    <row r="197">
      <c r="A197" s="12" t="n"/>
      <c r="B197" s="13" t="n"/>
      <c r="C197" s="14" t="n"/>
      <c r="D197" s="13" t="n"/>
      <c r="E197" s="15" t="n"/>
      <c r="F197" s="16" t="n"/>
      <c r="G197" s="11">
        <f>IFERROR(E197/(C197*VLOOKUP(D197,tab_conversao,2,0)*IF(OR(F197="",F197=0),1,F197)),0)</f>
        <v/>
      </c>
    </row>
    <row r="198">
      <c r="A198" s="6" t="n"/>
      <c r="B198" s="7" t="n"/>
      <c r="C198" s="8" t="n"/>
      <c r="D198" s="7" t="n"/>
      <c r="E198" s="9" t="n"/>
      <c r="F198" s="10" t="n"/>
      <c r="G198" s="11">
        <f>IFERROR(E198/(C198*VLOOKUP(D198,tab_conversao,2,0)*IF(OR(F198="",F198=0),1,F198)),0)</f>
        <v/>
      </c>
    </row>
    <row r="199">
      <c r="A199" s="12" t="n"/>
      <c r="B199" s="13" t="n"/>
      <c r="C199" s="14" t="n"/>
      <c r="D199" s="13" t="n"/>
      <c r="E199" s="15" t="n"/>
      <c r="F199" s="16" t="n"/>
      <c r="G199" s="11">
        <f>IFERROR(E199/(C199*VLOOKUP(D199,tab_conversao,2,0)*IF(OR(F199="",F199=0),1,F199)),0)</f>
        <v/>
      </c>
    </row>
    <row r="200">
      <c r="A200" s="6" t="n"/>
      <c r="B200" s="7" t="n"/>
      <c r="C200" s="8" t="n"/>
      <c r="D200" s="7" t="n"/>
      <c r="E200" s="9" t="n"/>
      <c r="F200" s="10" t="n"/>
      <c r="G200" s="11">
        <f>IFERROR(E200/(C200*VLOOKUP(D200,tab_conversao,2,0)*IF(OR(F200="",F200=0),1,F200)),0)</f>
        <v/>
      </c>
    </row>
    <row r="201">
      <c r="A201" s="12" t="n"/>
      <c r="B201" s="13" t="n"/>
      <c r="C201" s="14" t="n"/>
      <c r="D201" s="13" t="n"/>
      <c r="E201" s="15" t="n"/>
      <c r="F201" s="16" t="n"/>
      <c r="G201" s="11">
        <f>IFERROR(E201/(C201*VLOOKUP(D201,tab_conversao,2,0)*IF(OR(F201="",F201=0),1,F201)),0)</f>
        <v/>
      </c>
    </row>
    <row r="202">
      <c r="A202" s="6" t="n"/>
      <c r="B202" s="7" t="n"/>
      <c r="C202" s="8" t="n"/>
      <c r="D202" s="7" t="n"/>
      <c r="E202" s="9" t="n"/>
      <c r="F202" s="10" t="n"/>
      <c r="G202" s="11">
        <f>IFERROR(E202/(C202*VLOOKUP(D202,tab_conversao,2,0)*IF(OR(F202="",F202=0),1,F202)),0)</f>
        <v/>
      </c>
    </row>
    <row r="203">
      <c r="A203" s="12" t="n"/>
      <c r="B203" s="13" t="n"/>
      <c r="C203" s="14" t="n"/>
      <c r="D203" s="13" t="n"/>
      <c r="E203" s="15" t="n"/>
      <c r="F203" s="16" t="n"/>
      <c r="G203" s="11">
        <f>IFERROR(E203/(C203*VLOOKUP(D203,tab_conversao,2,0)*IF(OR(F203="",F203=0),1,F203)),0)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G2"/>
    <mergeCell ref="A1:G1"/>
  </mergeCells>
  <dataValidations count="2">
    <dataValidation sqref="B4:B203" showDropDown="0" showInputMessage="0" showErrorMessage="0" allowBlank="1" type="list">
      <formula1>lista_categorias</formula1>
    </dataValidation>
    <dataValidation sqref="D4:D203" showDropDown="0" showInputMessage="0" showErrorMessage="0" allowBlank="1" type="list">
      <formula1>lista_unidades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A9A7B"/>
    <outlinePr summaryBelow="1" summaryRight="1"/>
    <pageSetUpPr/>
  </sheetPr>
  <dimension ref="A1:D3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20" customWidth="1" min="4" max="4"/>
  </cols>
  <sheetData>
    <row r="1" ht="30" customHeight="1">
      <c r="A1" s="3" t="inlineStr">
        <is>
          <t>FICHA TÉCNICA UNIVERSAL</t>
        </is>
      </c>
    </row>
    <row r="2">
      <c r="A2" s="4" t="inlineStr">
        <is>
          <t>Monte a receita escolhendo os insumos no menu suspenso. O custo de cada item é puxado automaticamente da Aba 1.</t>
        </is>
      </c>
    </row>
    <row r="3">
      <c r="A3" s="17" t="inlineStr">
        <is>
          <t>Nome da Receita:</t>
        </is>
      </c>
      <c r="B3" s="18" t="inlineStr">
        <is>
          <t>Brigadeiro Gourmet</t>
        </is>
      </c>
      <c r="C3" s="19" t="n"/>
      <c r="D3" s="20" t="n"/>
    </row>
    <row r="4">
      <c r="A4" s="17" t="inlineStr">
        <is>
          <t>Tipo de Produto:</t>
        </is>
      </c>
      <c r="B4" s="18" t="inlineStr">
        <is>
          <t>Doce</t>
        </is>
      </c>
      <c r="C4" s="21" t="inlineStr">
        <is>
          <t>← Doce / Salgado / Torta</t>
        </is>
      </c>
    </row>
    <row r="6" ht="30" customHeight="1">
      <c r="A6" s="5" t="inlineStr">
        <is>
          <t>Item da Receita</t>
        </is>
      </c>
      <c r="B6" s="5" t="inlineStr">
        <is>
          <t>Quantidade Utilizada</t>
        </is>
      </c>
      <c r="C6" s="5" t="inlineStr">
        <is>
          <t>Unidade</t>
        </is>
      </c>
      <c r="D6" s="5" t="inlineStr">
        <is>
          <t>Custo Calculado (R$)</t>
        </is>
      </c>
    </row>
    <row r="7">
      <c r="A7" s="6" t="inlineStr">
        <is>
          <t>Leite Condensado</t>
        </is>
      </c>
      <c r="B7" s="8" t="n">
        <v>395</v>
      </c>
      <c r="C7" s="7" t="inlineStr">
        <is>
          <t>g</t>
        </is>
      </c>
      <c r="D7" s="22">
        <f>IFERROR(VLOOKUP(A7,tab_insumos,7,0)*B7*VLOOKUP(C7,tab_conversao,2,0),0)</f>
        <v/>
      </c>
    </row>
    <row r="8">
      <c r="A8" s="12" t="inlineStr">
        <is>
          <t>Creme de Leite</t>
        </is>
      </c>
      <c r="B8" s="14" t="n">
        <v>100</v>
      </c>
      <c r="C8" s="13" t="inlineStr">
        <is>
          <t>g</t>
        </is>
      </c>
      <c r="D8" s="22">
        <f>IFERROR(VLOOKUP(A8,tab_insumos,7,0)*B8*VLOOKUP(C8,tab_conversao,2,0),0)</f>
        <v/>
      </c>
    </row>
    <row r="9">
      <c r="A9" s="6" t="inlineStr">
        <is>
          <t>Chocolate em Pó 50%</t>
        </is>
      </c>
      <c r="B9" s="8" t="n">
        <v>60</v>
      </c>
      <c r="C9" s="7" t="inlineStr">
        <is>
          <t>g</t>
        </is>
      </c>
      <c r="D9" s="22">
        <f>IFERROR(VLOOKUP(A9,tab_insumos,7,0)*B9*VLOOKUP(C9,tab_conversao,2,0),0)</f>
        <v/>
      </c>
    </row>
    <row r="10">
      <c r="A10" s="12" t="inlineStr">
        <is>
          <t>Manteiga</t>
        </is>
      </c>
      <c r="B10" s="14" t="n">
        <v>15</v>
      </c>
      <c r="C10" s="13" t="inlineStr">
        <is>
          <t>g</t>
        </is>
      </c>
      <c r="D10" s="22">
        <f>IFERROR(VLOOKUP(A10,tab_insumos,7,0)*B10*VLOOKUP(C10,tab_conversao,2,0),0)</f>
        <v/>
      </c>
    </row>
    <row r="11">
      <c r="A11" s="6" t="inlineStr">
        <is>
          <t>Granulado Belga</t>
        </is>
      </c>
      <c r="B11" s="8" t="n">
        <v>150</v>
      </c>
      <c r="C11" s="7" t="inlineStr">
        <is>
          <t>g</t>
        </is>
      </c>
      <c r="D11" s="22">
        <f>IFERROR(VLOOKUP(A11,tab_insumos,7,0)*B11*VLOOKUP(C11,tab_conversao,2,0),0)</f>
        <v/>
      </c>
    </row>
    <row r="12">
      <c r="A12" s="12" t="n"/>
      <c r="B12" s="14" t="n"/>
      <c r="C12" s="13" t="n"/>
      <c r="D12" s="22">
        <f>IFERROR(VLOOKUP(A12,tab_insumos,7,0)*B12*VLOOKUP(C12,tab_conversao,2,0),0)</f>
        <v/>
      </c>
    </row>
    <row r="13">
      <c r="A13" s="6" t="n"/>
      <c r="B13" s="8" t="n"/>
      <c r="C13" s="7" t="n"/>
      <c r="D13" s="22">
        <f>IFERROR(VLOOKUP(A13,tab_insumos,7,0)*B13*VLOOKUP(C13,tab_conversao,2,0),0)</f>
        <v/>
      </c>
    </row>
    <row r="14">
      <c r="A14" s="12" t="n"/>
      <c r="B14" s="14" t="n"/>
      <c r="C14" s="13" t="n"/>
      <c r="D14" s="22">
        <f>IFERROR(VLOOKUP(A14,tab_insumos,7,0)*B14*VLOOKUP(C14,tab_conversao,2,0),0)</f>
        <v/>
      </c>
    </row>
    <row r="15">
      <c r="A15" s="6" t="n"/>
      <c r="B15" s="8" t="n"/>
      <c r="C15" s="7" t="n"/>
      <c r="D15" s="22">
        <f>IFERROR(VLOOKUP(A15,tab_insumos,7,0)*B15*VLOOKUP(C15,tab_conversao,2,0),0)</f>
        <v/>
      </c>
    </row>
    <row r="16">
      <c r="A16" s="12" t="n"/>
      <c r="B16" s="14" t="n"/>
      <c r="C16" s="13" t="n"/>
      <c r="D16" s="22">
        <f>IFERROR(VLOOKUP(A16,tab_insumos,7,0)*B16*VLOOKUP(C16,tab_conversao,2,0),0)</f>
        <v/>
      </c>
    </row>
    <row r="17">
      <c r="A17" s="6" t="n"/>
      <c r="B17" s="8" t="n"/>
      <c r="C17" s="7" t="n"/>
      <c r="D17" s="22">
        <f>IFERROR(VLOOKUP(A17,tab_insumos,7,0)*B17*VLOOKUP(C17,tab_conversao,2,0),0)</f>
        <v/>
      </c>
    </row>
    <row r="18">
      <c r="A18" s="12" t="n"/>
      <c r="B18" s="14" t="n"/>
      <c r="C18" s="13" t="n"/>
      <c r="D18" s="22">
        <f>IFERROR(VLOOKUP(A18,tab_insumos,7,0)*B18*VLOOKUP(C18,tab_conversao,2,0),0)</f>
        <v/>
      </c>
    </row>
    <row r="19">
      <c r="A19" s="6" t="n"/>
      <c r="B19" s="8" t="n"/>
      <c r="C19" s="7" t="n"/>
      <c r="D19" s="22">
        <f>IFERROR(VLOOKUP(A19,tab_insumos,7,0)*B19*VLOOKUP(C19,tab_conversao,2,0),0)</f>
        <v/>
      </c>
    </row>
    <row r="20">
      <c r="A20" s="12" t="n"/>
      <c r="B20" s="14" t="n"/>
      <c r="C20" s="13" t="n"/>
      <c r="D20" s="22">
        <f>IFERROR(VLOOKUP(A20,tab_insumos,7,0)*B20*VLOOKUP(C20,tab_conversao,2,0),0)</f>
        <v/>
      </c>
    </row>
    <row r="21">
      <c r="A21" s="6" t="n"/>
      <c r="B21" s="8" t="n"/>
      <c r="C21" s="7" t="n"/>
      <c r="D21" s="22">
        <f>IFERROR(VLOOKUP(A21,tab_insumos,7,0)*B21*VLOOKUP(C21,tab_conversao,2,0),0)</f>
        <v/>
      </c>
    </row>
    <row r="22">
      <c r="A22" s="12" t="n"/>
      <c r="B22" s="14" t="n"/>
      <c r="C22" s="13" t="n"/>
      <c r="D22" s="22">
        <f>IFERROR(VLOOKUP(A22,tab_insumos,7,0)*B22*VLOOKUP(C22,tab_conversao,2,0),0)</f>
        <v/>
      </c>
    </row>
    <row r="23">
      <c r="A23" s="6" t="n"/>
      <c r="B23" s="8" t="n"/>
      <c r="C23" s="7" t="n"/>
      <c r="D23" s="22">
        <f>IFERROR(VLOOKUP(A23,tab_insumos,7,0)*B23*VLOOKUP(C23,tab_conversao,2,0),0)</f>
        <v/>
      </c>
    </row>
    <row r="24">
      <c r="A24" s="12" t="n"/>
      <c r="B24" s="14" t="n"/>
      <c r="C24" s="13" t="n"/>
      <c r="D24" s="22">
        <f>IFERROR(VLOOKUP(A24,tab_insumos,7,0)*B24*VLOOKUP(C24,tab_conversao,2,0),0)</f>
        <v/>
      </c>
    </row>
    <row r="25">
      <c r="A25" s="6" t="n"/>
      <c r="B25" s="8" t="n"/>
      <c r="C25" s="7" t="n"/>
      <c r="D25" s="22">
        <f>IFERROR(VLOOKUP(A25,tab_insumos,7,0)*B25*VLOOKUP(C25,tab_conversao,2,0),0)</f>
        <v/>
      </c>
    </row>
    <row r="26">
      <c r="A26" s="12" t="n"/>
      <c r="B26" s="14" t="n"/>
      <c r="C26" s="13" t="n"/>
      <c r="D26" s="22">
        <f>IFERROR(VLOOKUP(A26,tab_insumos,7,0)*B26*VLOOKUP(C26,tab_conversao,2,0),0)</f>
        <v/>
      </c>
    </row>
    <row r="27">
      <c r="A27" s="6" t="n"/>
      <c r="B27" s="8" t="n"/>
      <c r="C27" s="7" t="n"/>
      <c r="D27" s="22">
        <f>IFERROR(VLOOKUP(A27,tab_insumos,7,0)*B27*VLOOKUP(C27,tab_conversao,2,0),0)</f>
        <v/>
      </c>
    </row>
    <row r="28">
      <c r="A28" s="12" t="n"/>
      <c r="B28" s="14" t="n"/>
      <c r="C28" s="13" t="n"/>
      <c r="D28" s="22">
        <f>IFERROR(VLOOKUP(A28,tab_insumos,7,0)*B28*VLOOKUP(C28,tab_conversao,2,0),0)</f>
        <v/>
      </c>
    </row>
    <row r="29">
      <c r="A29" s="6" t="n"/>
      <c r="B29" s="8" t="n"/>
      <c r="C29" s="7" t="n"/>
      <c r="D29" s="22">
        <f>IFERROR(VLOOKUP(A29,tab_insumos,7,0)*B29*VLOOKUP(C29,tab_conversao,2,0),0)</f>
        <v/>
      </c>
    </row>
    <row r="30">
      <c r="A30" s="12" t="n"/>
      <c r="B30" s="14" t="n"/>
      <c r="C30" s="13" t="n"/>
      <c r="D30" s="22">
        <f>IFERROR(VLOOKUP(A30,tab_insumos,7,0)*B30*VLOOKUP(C30,tab_conversao,2,0),0)</f>
        <v/>
      </c>
    </row>
    <row r="31">
      <c r="A31" s="6" t="n"/>
      <c r="B31" s="8" t="n"/>
      <c r="C31" s="7" t="n"/>
      <c r="D31" s="22">
        <f>IFERROR(VLOOKUP(A31,tab_insumos,7,0)*B31*VLOOKUP(C31,tab_conversao,2,0),0)</f>
        <v/>
      </c>
    </row>
    <row r="32">
      <c r="A32" s="12" t="n"/>
      <c r="B32" s="14" t="n"/>
      <c r="C32" s="13" t="n"/>
      <c r="D32" s="22">
        <f>IFERROR(VLOOKUP(A32,tab_insumos,7,0)*B32*VLOOKUP(C32,tab_conversao,2,0),0)</f>
        <v/>
      </c>
    </row>
    <row r="33">
      <c r="A33" s="6" t="n"/>
      <c r="B33" s="8" t="n"/>
      <c r="C33" s="7" t="n"/>
      <c r="D33" s="22">
        <f>IFERROR(VLOOKUP(A33,tab_insumos,7,0)*B33*VLOOKUP(C33,tab_conversao,2,0),0)</f>
        <v/>
      </c>
    </row>
    <row r="34">
      <c r="A34" s="12" t="n"/>
      <c r="B34" s="14" t="n"/>
      <c r="C34" s="13" t="n"/>
      <c r="D34" s="22">
        <f>IFERROR(VLOOKUP(A34,tab_insumos,7,0)*B34*VLOOKUP(C34,tab_conversao,2,0),0)</f>
        <v/>
      </c>
    </row>
    <row r="35">
      <c r="A35" s="6" t="n"/>
      <c r="B35" s="8" t="n"/>
      <c r="C35" s="7" t="n"/>
      <c r="D35" s="22">
        <f>IFERROR(VLOOKUP(A35,tab_insumos,7,0)*B35*VLOOKUP(C35,tab_conversao,2,0),0)</f>
        <v/>
      </c>
    </row>
    <row r="36">
      <c r="A36" s="12" t="n"/>
      <c r="B36" s="14" t="n"/>
      <c r="C36" s="13" t="n"/>
      <c r="D36" s="22">
        <f>IFERROR(VLOOKUP(A36,tab_insumos,7,0)*B36*VLOOKUP(C36,tab_conversao,2,0),0)</f>
        <v/>
      </c>
    </row>
    <row r="37">
      <c r="A37" s="23" t="inlineStr">
        <is>
          <t>CUSTO TOTAL DE INGREDIENTES (por receita)</t>
        </is>
      </c>
      <c r="B37" s="24" t="n"/>
      <c r="C37" s="25" t="n"/>
      <c r="D37" s="26">
        <f>SUM(D7:D36)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">
    <mergeCell ref="A1:D1"/>
    <mergeCell ref="B3:D3"/>
    <mergeCell ref="A37:C37"/>
    <mergeCell ref="A2:D2"/>
    <mergeCell ref="C4:D4"/>
  </mergeCells>
  <dataValidations count="3">
    <dataValidation sqref="A7:A36" showDropDown="0" showInputMessage="0" showErrorMessage="0" allowBlank="1" type="list">
      <formula1>lista_insumos</formula1>
    </dataValidation>
    <dataValidation sqref="C7:C36" showDropDown="0" showInputMessage="0" showErrorMessage="0" allowBlank="1" type="list">
      <formula1>lista_unidades</formula1>
    </dataValidation>
    <dataValidation sqref="B4" showDropDown="0" showInputMessage="0" showErrorMessage="0" allowBlank="1" type="list">
      <formula1>lista_tipos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9613F"/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40" customWidth="1" min="4" max="4"/>
  </cols>
  <sheetData>
    <row r="1" ht="30" customHeight="1">
      <c r="A1" s="3" t="inlineStr">
        <is>
          <t>MÃO DE OBRA E CUSTOS INVISÍVEIS</t>
        </is>
      </c>
    </row>
    <row r="2">
      <c r="A2" s="4" t="inlineStr">
        <is>
          <t>Configure uma vez. A planilha transforma tudo em custo por minuto e aplica em cada receita automaticamente.</t>
        </is>
      </c>
    </row>
    <row r="3">
      <c r="A3" s="27" t="inlineStr">
        <is>
          <t>BLOCO 1 — VALOR DO SEU TEMPO (MÃO DE OBRA)</t>
        </is>
      </c>
    </row>
    <row r="4">
      <c r="B4" s="28" t="inlineStr">
        <is>
          <t>Pró-labore desejado (R$/mês)</t>
        </is>
      </c>
      <c r="C4" s="9" t="n">
        <v>2500</v>
      </c>
      <c r="D4" s="21" t="inlineStr">
        <is>
          <t>Quanto você quer receber por mês.</t>
        </is>
      </c>
    </row>
    <row r="5">
      <c r="B5" s="28" t="inlineStr">
        <is>
          <t>Horas trabalhadas por dia</t>
        </is>
      </c>
      <c r="C5" s="29" t="n">
        <v>6</v>
      </c>
      <c r="D5" s="21" t="inlineStr">
        <is>
          <t>Média de horas dedicadas à produção.</t>
        </is>
      </c>
    </row>
    <row r="6">
      <c r="B6" s="28" t="inlineStr">
        <is>
          <t>Dias trabalhados por mês</t>
        </is>
      </c>
      <c r="C6" s="29" t="n">
        <v>22</v>
      </c>
    </row>
    <row r="7">
      <c r="B7" s="30" t="inlineStr">
        <is>
          <t>Horas por mês</t>
        </is>
      </c>
      <c r="C7" s="31">
        <f>C5*C6</f>
        <v/>
      </c>
    </row>
    <row r="8">
      <c r="B8" s="30" t="inlineStr">
        <is>
          <t>Minutos por mês</t>
        </is>
      </c>
      <c r="C8" s="32">
        <f>C7*60</f>
        <v/>
      </c>
      <c r="D8" s="21" t="inlineStr">
        <is>
          <t>Base para ratear todos os custos por minuto.</t>
        </is>
      </c>
    </row>
    <row r="9">
      <c r="B9" s="30" t="inlineStr">
        <is>
          <t>Valor da Hora (R$)</t>
        </is>
      </c>
      <c r="C9" s="33">
        <f>IFERROR(C4/C7,0)</f>
        <v/>
      </c>
    </row>
    <row r="10">
      <c r="B10" s="30" t="inlineStr">
        <is>
          <t>Valor do Minuto de Mão de Obra (R$)</t>
        </is>
      </c>
      <c r="C10" s="33">
        <f>IFERROR(C9/60,0)</f>
        <v/>
      </c>
    </row>
    <row r="12">
      <c r="A12" s="27" t="inlineStr">
        <is>
          <t>BLOCO 2 — ENERGIA &amp; GÁS (EQUIPAMENTOS)</t>
        </is>
      </c>
    </row>
    <row r="13">
      <c r="B13" s="28" t="inlineStr">
        <is>
          <t>Gás (R$/mês)</t>
        </is>
      </c>
      <c r="C13" s="9" t="n">
        <v>90</v>
      </c>
    </row>
    <row r="14">
      <c r="B14" s="28" t="inlineStr">
        <is>
          <t>Energia Elétrica (R$/mês)</t>
        </is>
      </c>
      <c r="C14" s="9" t="n">
        <v>180</v>
      </c>
    </row>
    <row r="15">
      <c r="B15" s="28" t="inlineStr">
        <is>
          <t>Minutos de forno/fogão por mês (estimativa)</t>
        </is>
      </c>
      <c r="C15" s="34" t="n">
        <v>2400</v>
      </c>
      <c r="D15" s="21" t="inlineStr">
        <is>
          <t>Quanto tempo seus equipamentos ficam ligados no mês.</t>
        </is>
      </c>
    </row>
    <row r="16">
      <c r="B16" s="30" t="inlineStr">
        <is>
          <t>Custo por Minuto de Forno/Fogão (R$)</t>
        </is>
      </c>
      <c r="C16" s="33">
        <f>IFERROR((C13+C14)/C15,0)</f>
        <v/>
      </c>
    </row>
    <row r="18">
      <c r="A18" s="27" t="inlineStr">
        <is>
          <t>BLOCO 3 — CUSTOS FIXOS DE ESTRUTURA (R$/mês)</t>
        </is>
      </c>
    </row>
    <row r="19">
      <c r="B19" s="28" t="inlineStr">
        <is>
          <t>Água</t>
        </is>
      </c>
      <c r="C19" s="9" t="n">
        <v>60</v>
      </c>
    </row>
    <row r="20">
      <c r="B20" s="28" t="inlineStr">
        <is>
          <t>MEI / Impostos fixos</t>
        </is>
      </c>
      <c r="C20" s="9" t="n">
        <v>76</v>
      </c>
    </row>
    <row r="21">
      <c r="B21" s="28" t="inlineStr">
        <is>
          <t>Aluguel / Espaço</t>
        </is>
      </c>
      <c r="C21" s="9" t="n">
        <v>0</v>
      </c>
    </row>
    <row r="22">
      <c r="B22" s="28" t="inlineStr">
        <is>
          <t>Internet / Telefone</t>
        </is>
      </c>
      <c r="C22" s="9" t="n">
        <v>50</v>
      </c>
    </row>
    <row r="23">
      <c r="B23" s="28" t="inlineStr">
        <is>
          <t>Outros (contador, marketing...)</t>
        </is>
      </c>
      <c r="C23" s="9" t="n">
        <v>40</v>
      </c>
    </row>
    <row r="24">
      <c r="B24" s="30" t="inlineStr">
        <is>
          <t>Total de Custos Fixos de Estrutura</t>
        </is>
      </c>
      <c r="C24" s="33">
        <f>SUM(C19:C23)</f>
        <v/>
      </c>
    </row>
    <row r="25">
      <c r="B25" s="30" t="inlineStr">
        <is>
          <t>Custo Fixo de Estrutura por Minuto (R$)</t>
        </is>
      </c>
      <c r="C25" s="33">
        <f>IFERROR(C24/C8,0)</f>
        <v/>
      </c>
      <c r="D25" s="21" t="inlineStr">
        <is>
          <t>Rateado pelos minutos trabalhados no mês.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">
    <mergeCell ref="A1:D1"/>
    <mergeCell ref="A18:D18"/>
    <mergeCell ref="A12:D12"/>
    <mergeCell ref="A3:D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A3A38"/>
    <outlinePr summaryBelow="1" summaryRight="1"/>
    <pageSetUpPr/>
  </sheetPr>
  <dimension ref="A1:G3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22" customWidth="1" min="4" max="4"/>
    <col width="20" customWidth="1" min="5" max="5"/>
    <col width="16" customWidth="1" min="6" max="6"/>
    <col width="4" customWidth="1" min="7" max="7"/>
  </cols>
  <sheetData>
    <row r="1" ht="30" customHeight="1">
      <c r="A1" s="3" t="inlineStr">
        <is>
          <t>PRECIFICAÇÃO — PAINEL DE VENDAS</t>
        </is>
      </c>
    </row>
    <row r="2">
      <c r="A2" s="4" t="inlineStr">
        <is>
          <t>Sua tela principal. Preencha apenas os campos claros. Tudo se calcula sozinho.</t>
        </is>
      </c>
    </row>
    <row r="3">
      <c r="A3" s="27" t="inlineStr">
        <is>
          <t>DADOS DA RECEITA</t>
        </is>
      </c>
    </row>
    <row r="4">
      <c r="A4" s="28" t="inlineStr">
        <is>
          <t>Receita</t>
        </is>
      </c>
      <c r="B4" s="35">
        <f>receita_nome</f>
        <v/>
      </c>
      <c r="C4" s="24" t="n"/>
      <c r="D4" s="25" t="n"/>
    </row>
    <row r="5">
      <c r="A5" s="28" t="inlineStr">
        <is>
          <t>Tipo de Produto</t>
        </is>
      </c>
      <c r="B5" s="35">
        <f>receita_tipo</f>
        <v/>
      </c>
    </row>
    <row r="6">
      <c r="A6" s="28" t="inlineStr">
        <is>
          <t>Rendimento da Receita (unidades)</t>
        </is>
      </c>
      <c r="C6" s="36" t="n">
        <v>30</v>
      </c>
      <c r="D6" s="21" t="inlineStr">
        <is>
          <t>← Ex.: 50 doces, 100 salgados ou 2 tortas</t>
        </is>
      </c>
    </row>
    <row r="7">
      <c r="A7" s="28" t="inlineStr">
        <is>
          <t>Tempo de Produção / Mão de Obra (min)</t>
        </is>
      </c>
      <c r="C7" s="36" t="n">
        <v>40</v>
      </c>
    </row>
    <row r="8">
      <c r="A8" s="28" t="inlineStr">
        <is>
          <t>Tempo de Forno / Fogão (min)</t>
        </is>
      </c>
      <c r="C8" s="36" t="n">
        <v>15</v>
      </c>
      <c r="D8" s="21" t="inlineStr">
        <is>
          <t>← 0 para doces sem cocção</t>
        </is>
      </c>
    </row>
    <row r="10">
      <c r="A10" s="27" t="inlineStr">
        <is>
          <t>EMBALAGEM (por unidade do produto)</t>
        </is>
      </c>
    </row>
    <row r="11">
      <c r="A11" s="5" t="inlineStr">
        <is>
          <t>Item de Embalagem</t>
        </is>
      </c>
      <c r="B11" s="5" t="inlineStr">
        <is>
          <t>Qtd por unidade</t>
        </is>
      </c>
      <c r="C11" s="5" t="inlineStr">
        <is>
          <t>Custo (R$)</t>
        </is>
      </c>
    </row>
    <row r="12">
      <c r="A12" s="6" t="inlineStr">
        <is>
          <t>Forminha Nº4</t>
        </is>
      </c>
      <c r="B12" s="8" t="n">
        <v>1</v>
      </c>
      <c r="C12" s="11">
        <f>IFERROR(VLOOKUP(A12,tab_insumos,7,0)*B12,0)</f>
        <v/>
      </c>
    </row>
    <row r="13">
      <c r="A13" s="6" t="inlineStr">
        <is>
          <t>Caixa Kraft 6 doces</t>
        </is>
      </c>
      <c r="B13" s="8" t="n">
        <v>0.1667</v>
      </c>
      <c r="C13" s="11">
        <f>IFERROR(VLOOKUP(A13,tab_insumos,7,0)*B13,0)</f>
        <v/>
      </c>
    </row>
    <row r="14">
      <c r="A14" s="6" t="n"/>
      <c r="B14" s="8" t="n"/>
      <c r="C14" s="11">
        <f>IFERROR(VLOOKUP(A14,tab_insumos,7,0)*B14,0)</f>
        <v/>
      </c>
    </row>
    <row r="15">
      <c r="A15" s="37" t="inlineStr">
        <is>
          <t>Custo de Embalagem por Unidade (R$)</t>
        </is>
      </c>
      <c r="B15" s="25" t="n"/>
      <c r="C15" s="38">
        <f>SUM(C12:C14)</f>
        <v/>
      </c>
    </row>
    <row r="17">
      <c r="A17" s="27" t="inlineStr">
        <is>
          <t>CUSTOS CONSOLIDADOS (por receita)</t>
        </is>
      </c>
    </row>
    <row r="18">
      <c r="A18" s="28" t="inlineStr">
        <is>
          <t>Ingredientes (Ficha Técnica)</t>
        </is>
      </c>
      <c r="C18" s="39">
        <f>custo_ingredientes</f>
        <v/>
      </c>
    </row>
    <row r="19">
      <c r="A19" s="28" t="inlineStr">
        <is>
          <t>Mão de Obra</t>
        </is>
      </c>
      <c r="C19" s="39">
        <f>tempo_producao*valor_min_mo</f>
        <v/>
      </c>
    </row>
    <row r="20">
      <c r="A20" s="28" t="inlineStr">
        <is>
          <t>Energia / Gás (Forno/Fogão)</t>
        </is>
      </c>
      <c r="C20" s="39">
        <f>tempo_forno*custo_min_forno</f>
        <v/>
      </c>
    </row>
    <row r="21">
      <c r="A21" s="28" t="inlineStr">
        <is>
          <t>Custos Fixos (Estrutura)</t>
        </is>
      </c>
      <c r="C21" s="39">
        <f>tempo_producao*custo_min_estrutura</f>
        <v/>
      </c>
    </row>
    <row r="22">
      <c r="A22" s="28" t="inlineStr">
        <is>
          <t>Embalagem (receita inteira)</t>
        </is>
      </c>
      <c r="C22" s="39">
        <f>emb_unit*rendimento</f>
        <v/>
      </c>
    </row>
    <row r="23">
      <c r="A23" s="23" t="inlineStr">
        <is>
          <t>CUSTO TOTAL DA RECEITA</t>
        </is>
      </c>
      <c r="C23" s="40">
        <f>SUM(C18:C22)</f>
        <v/>
      </c>
    </row>
    <row r="24">
      <c r="A24" s="41" t="inlineStr">
        <is>
          <t>CUSTO TOTAL POR UNIDADE</t>
        </is>
      </c>
      <c r="C24" s="42">
        <f>IFERROR(C23/rendimento,0)</f>
        <v/>
      </c>
    </row>
    <row r="26">
      <c r="A26" s="27" t="inlineStr">
        <is>
          <t>PRECIFICAÇÃO</t>
        </is>
      </c>
    </row>
    <row r="27">
      <c r="A27" s="28" t="inlineStr">
        <is>
          <t>Margem de Lucro Desejada (%)</t>
        </is>
      </c>
      <c r="C27" s="43" t="n">
        <v>0.5</v>
      </c>
    </row>
    <row r="28">
      <c r="A28" s="28" t="inlineStr">
        <is>
          <t>Margem Mínima Saudável (%)</t>
        </is>
      </c>
      <c r="C28" s="43" t="n">
        <v>0.2</v>
      </c>
      <c r="D28" s="21" t="inlineStr">
        <is>
          <t>← Abaixo disto a planilha te alerta em vermelho</t>
        </is>
      </c>
    </row>
    <row r="29">
      <c r="A29" s="28" t="inlineStr">
        <is>
          <t>Preço Mínimo de Venda / un (à vista, sem taxa)</t>
        </is>
      </c>
      <c r="C29" s="44">
        <f>IFERROR(custo_unit/(1-margem),0)</f>
        <v/>
      </c>
    </row>
    <row r="30">
      <c r="A30" s="28" t="inlineStr">
        <is>
          <t>Lucro por unidade (à vista)</t>
        </is>
      </c>
      <c r="C30" s="39">
        <f>C29-custo_unit</f>
        <v/>
      </c>
    </row>
    <row r="32">
      <c r="A32" s="27" t="inlineStr">
        <is>
          <t>CENÁRIOS DE CANAIS DE VENDA</t>
        </is>
      </c>
    </row>
    <row r="33" ht="30" customHeight="1">
      <c r="A33" s="5" t="inlineStr">
        <is>
          <t>Canal</t>
        </is>
      </c>
      <c r="B33" s="5" t="inlineStr">
        <is>
          <t>Taxa do Canal (%)</t>
        </is>
      </c>
      <c r="C33" s="5" t="inlineStr">
        <is>
          <t>Preço Sugerido (R$)</t>
        </is>
      </c>
      <c r="D33" s="5" t="inlineStr">
        <is>
          <t>Preço Final Arredondado (R$)</t>
        </is>
      </c>
      <c r="E33" s="5" t="inlineStr">
        <is>
          <t>Lucro Líquido / un (R$)</t>
        </is>
      </c>
      <c r="F33" s="5" t="inlineStr">
        <is>
          <t>Margem Real (%)</t>
        </is>
      </c>
    </row>
    <row r="34">
      <c r="A34" s="45" t="inlineStr">
        <is>
          <t>Balcão (Dinheiro / PIX)</t>
        </is>
      </c>
      <c r="B34" s="43" t="n">
        <v>0</v>
      </c>
      <c r="C34" s="46">
        <f>IFERROR(custo_unit/(1-margem-B34),0)</f>
        <v/>
      </c>
      <c r="D34" s="47">
        <f>IFERROR(CEILING(C34,0.5),0)</f>
        <v/>
      </c>
      <c r="E34" s="46">
        <f>D34*(1-B34)-custo_unit</f>
        <v/>
      </c>
      <c r="F34" s="48">
        <f>IFERROR((D34*(1-B34)-custo_unit)/D34,0)</f>
        <v/>
      </c>
    </row>
    <row r="35">
      <c r="A35" s="45" t="inlineStr">
        <is>
          <t>Cartão (Maquininha)</t>
        </is>
      </c>
      <c r="B35" s="43" t="n">
        <v>0.035</v>
      </c>
      <c r="C35" s="46">
        <f>IFERROR(custo_unit/(1-margem-B35),0)</f>
        <v/>
      </c>
      <c r="D35" s="47">
        <f>IFERROR(CEILING(C35,0.5),0)</f>
        <v/>
      </c>
      <c r="E35" s="46">
        <f>D35*(1-B35)-custo_unit</f>
        <v/>
      </c>
      <c r="F35" s="48">
        <f>IFERROR((D35*(1-B35)-custo_unit)/D35,0)</f>
        <v/>
      </c>
    </row>
    <row r="36">
      <c r="A36" s="45" t="inlineStr">
        <is>
          <t>Aplicativo (iFood)</t>
        </is>
      </c>
      <c r="B36" s="43" t="n">
        <v>0.27</v>
      </c>
      <c r="C36" s="46">
        <f>IFERROR(custo_unit/(1-margem-B36),0)</f>
        <v/>
      </c>
      <c r="D36" s="47">
        <f>IFERROR(CEILING(C36,0.5),0)</f>
        <v/>
      </c>
      <c r="E36" s="46">
        <f>D36*(1-B36)-custo_unit</f>
        <v/>
      </c>
      <c r="F36" s="48">
        <f>IFERROR((D36*(1-B36)-custo_unit)/D36,0)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">
    <mergeCell ref="A1:G1"/>
    <mergeCell ref="A15:B15"/>
    <mergeCell ref="A17:G17"/>
    <mergeCell ref="A3:G3"/>
    <mergeCell ref="B4:D4"/>
    <mergeCell ref="A32:F32"/>
    <mergeCell ref="A26:G26"/>
    <mergeCell ref="A2:G2"/>
    <mergeCell ref="A10:D10"/>
  </mergeCells>
  <conditionalFormatting sqref="C27">
    <cfRule type="expression" priority="1" dxfId="0" stopIfTrue="0">
      <formula>$C$27&lt;$C$28</formula>
    </cfRule>
  </conditionalFormatting>
  <conditionalFormatting sqref="F34:F36">
    <cfRule type="expression" priority="2" dxfId="0">
      <formula>F34&lt;$C$28</formula>
    </cfRule>
    <cfRule type="expression" priority="3" dxfId="1">
      <formula>F34&gt;=$C$28</formula>
    </cfRule>
  </conditionalFormatting>
  <conditionalFormatting sqref="E34:E36">
    <cfRule type="expression" priority="4" dxfId="0">
      <formula>E34&lt;0</formula>
    </cfRule>
  </conditionalFormatting>
  <conditionalFormatting sqref="C30">
    <cfRule type="expression" priority="5" dxfId="0">
      <formula>$C$30&lt;0</formula>
    </cfRule>
  </conditionalFormatting>
  <dataValidations count="1">
    <dataValidation sqref="A12:A14" showDropDown="0" showInputMessage="0" showErrorMessage="0" allowBlank="1" type="list">
      <formula1>lista_insumos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8A6B"/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3" customWidth="1" min="4" max="4"/>
    <col width="30" customWidth="1" min="5" max="5"/>
    <col width="30" customWidth="1" min="6" max="6"/>
    <col width="22" customWidth="1" min="7" max="7"/>
  </cols>
  <sheetData>
    <row r="1" ht="30" customHeight="1">
      <c r="A1" s="3" t="inlineStr">
        <is>
          <t>PAINEL VISUAL — COMPOSIÇÃO DO SEU PREÇO</t>
        </is>
      </c>
    </row>
    <row r="2">
      <c r="A2" s="4" t="inlineStr">
        <is>
          <t>Mostra exatamente para onde vai cada centavo do preço de venda (base: canal Cartão).</t>
        </is>
      </c>
    </row>
    <row r="4">
      <c r="A4" s="27" t="inlineStr">
        <is>
          <t>DE QUE É FEITO O SEU PREÇO (por unidade)</t>
        </is>
      </c>
    </row>
    <row r="5">
      <c r="A5" s="5" t="inlineStr">
        <is>
          <t>Componente</t>
        </is>
      </c>
      <c r="B5" s="5" t="inlineStr">
        <is>
          <t>Valor / un (R$)</t>
        </is>
      </c>
      <c r="C5" s="5" t="inlineStr">
        <is>
          <t>% do Preço</t>
        </is>
      </c>
    </row>
    <row r="6">
      <c r="A6" s="49" t="inlineStr">
        <is>
          <t>Ingredientes</t>
        </is>
      </c>
      <c r="B6" s="50">
        <f>IFERROR(custo_ingredientes/rendimento,0)</f>
        <v/>
      </c>
      <c r="C6" s="51">
        <f>IFERROR(B6/preco_ref,0)</f>
        <v/>
      </c>
    </row>
    <row r="7">
      <c r="A7" s="49" t="inlineStr">
        <is>
          <t>Embalagem</t>
        </is>
      </c>
      <c r="B7" s="50">
        <f>emb_unit</f>
        <v/>
      </c>
      <c r="C7" s="51">
        <f>IFERROR(B7/preco_ref,0)</f>
        <v/>
      </c>
    </row>
    <row r="8">
      <c r="A8" s="49" t="inlineStr">
        <is>
          <t>Mão de Obra</t>
        </is>
      </c>
      <c r="B8" s="50">
        <f>IFERROR(tempo_producao*valor_min_mo/rendimento,0)</f>
        <v/>
      </c>
      <c r="C8" s="51">
        <f>IFERROR(B8/preco_ref,0)</f>
        <v/>
      </c>
    </row>
    <row r="9">
      <c r="A9" s="49" t="inlineStr">
        <is>
          <t>Custos Fixos (Energia+Estr.)</t>
        </is>
      </c>
      <c r="B9" s="50">
        <f>IFERROR((tempo_forno*custo_min_forno+tempo_producao*custo_min_estrutura)/rendimento,0)</f>
        <v/>
      </c>
      <c r="C9" s="51">
        <f>IFERROR(B9/preco_ref,0)</f>
        <v/>
      </c>
    </row>
    <row r="10">
      <c r="A10" s="49" t="inlineStr">
        <is>
          <t>Taxas do Canal (Cartão)</t>
        </is>
      </c>
      <c r="B10" s="50">
        <f>preco_ref*taxa_ref</f>
        <v/>
      </c>
      <c r="C10" s="51">
        <f>IFERROR(B10/preco_ref,0)</f>
        <v/>
      </c>
    </row>
    <row r="11">
      <c r="A11" s="45" t="inlineStr">
        <is>
          <t>Lucro Real</t>
        </is>
      </c>
      <c r="B11" s="52">
        <f>preco_ref-SUM(B6:B10)</f>
        <v/>
      </c>
      <c r="C11" s="53">
        <f>IFERROR(B11/preco_ref,0)</f>
        <v/>
      </c>
    </row>
    <row r="12">
      <c r="A12" s="41" t="inlineStr">
        <is>
          <t>PREÇO FINAL (Cartão)</t>
        </is>
      </c>
      <c r="B12" s="26">
        <f>preco_ref</f>
        <v/>
      </c>
      <c r="C12" s="54">
        <f>IFERROR(B12/preco_ref,0)</f>
        <v/>
      </c>
    </row>
    <row r="15">
      <c r="A15" s="27" t="inlineStr">
        <is>
          <t>GUIA DE DESIGN DESTA PLANILHA</t>
        </is>
      </c>
    </row>
    <row r="16">
      <c r="A16" s="55" t="inlineStr">
        <is>
          <t>Paleta de cores</t>
        </is>
      </c>
      <c r="B16" s="56" t="inlineStr"/>
      <c r="C16" s="25" t="n"/>
    </row>
    <row r="17">
      <c r="A17" s="49" t="inlineStr">
        <is>
          <t xml:space="preserve">  Fundo (off-white cremoso)</t>
        </is>
      </c>
      <c r="B17" s="57" t="inlineStr">
        <is>
          <t>#FAF8F5</t>
        </is>
      </c>
      <c r="C17" s="25" t="n"/>
    </row>
    <row r="18">
      <c r="A18" s="49" t="inlineStr">
        <is>
          <t xml:space="preserve">  Cabeçalhos (grafite)</t>
        </is>
      </c>
      <c r="B18" s="57" t="inlineStr">
        <is>
          <t>#3A3A38</t>
        </is>
      </c>
      <c r="C18" s="25" t="n"/>
    </row>
    <row r="19">
      <c r="A19" s="49" t="inlineStr">
        <is>
          <t xml:space="preserve">  Destaque (terracota/caramelo)</t>
        </is>
      </c>
      <c r="B19" s="57" t="inlineStr">
        <is>
          <t>#C98A6B</t>
        </is>
      </c>
      <c r="C19" s="25" t="n"/>
    </row>
    <row r="20">
      <c r="A20" s="49" t="inlineStr">
        <is>
          <t xml:space="preserve">  Linhas/zebra (cinza claro)</t>
        </is>
      </c>
      <c r="B20" s="57" t="inlineStr">
        <is>
          <t>#EFEDE8</t>
        </is>
      </c>
      <c r="C20" s="25" t="n"/>
    </row>
    <row r="21">
      <c r="A21" s="49" t="inlineStr">
        <is>
          <t xml:space="preserve">  Positivo (verde sálvia)</t>
        </is>
      </c>
      <c r="B21" s="57" t="inlineStr">
        <is>
          <t>#8A9A7B</t>
        </is>
      </c>
      <c r="C21" s="25" t="n"/>
    </row>
    <row r="22">
      <c r="A22" s="49" t="inlineStr">
        <is>
          <t xml:space="preserve">  Alerta (vermelho suave)</t>
        </is>
      </c>
      <c r="B22" s="57" t="inlineStr">
        <is>
          <t>#C0584E</t>
        </is>
      </c>
      <c r="C22" s="25" t="n"/>
    </row>
    <row r="23">
      <c r="A23" s="55" t="inlineStr">
        <is>
          <t>Formatação condicional</t>
        </is>
      </c>
      <c r="B23" s="56" t="inlineStr"/>
      <c r="C23" s="25" t="n"/>
    </row>
    <row r="24">
      <c r="A24" s="49" t="inlineStr">
        <is>
          <t xml:space="preserve">  Margem &lt; mínima saudável</t>
        </is>
      </c>
      <c r="B24" s="57" t="inlineStr">
        <is>
          <t>Célula fica VERMELHA</t>
        </is>
      </c>
      <c r="C24" s="25" t="n"/>
    </row>
    <row r="25">
      <c r="A25" s="49" t="inlineStr">
        <is>
          <t xml:space="preserve">  Margem &gt;= mínima saudável</t>
        </is>
      </c>
      <c r="B25" s="57" t="inlineStr">
        <is>
          <t>Célula fica VERDE</t>
        </is>
      </c>
      <c r="C25" s="25" t="n"/>
    </row>
    <row r="26">
      <c r="A26" s="49" t="inlineStr">
        <is>
          <t xml:space="preserve">  Lucro por unidade negativo</t>
        </is>
      </c>
      <c r="B26" s="57" t="inlineStr">
        <is>
          <t>Alerta VERMELHO</t>
        </is>
      </c>
      <c r="C26" s="25" t="n"/>
    </row>
    <row r="27">
      <c r="A27" s="55" t="inlineStr">
        <is>
          <t>Gráficos</t>
        </is>
      </c>
      <c r="B27" s="56" t="inlineStr"/>
      <c r="C27" s="25" t="n"/>
    </row>
    <row r="28">
      <c r="A28" s="49" t="inlineStr">
        <is>
          <t xml:space="preserve">  Rosca: % de cada componente</t>
        </is>
      </c>
      <c r="B28" s="57" t="inlineStr">
        <is>
          <t>no preço final</t>
        </is>
      </c>
      <c r="C28" s="25" t="n"/>
    </row>
    <row r="29">
      <c r="A29" s="49" t="inlineStr">
        <is>
          <t xml:space="preserve">  Barras: peso em R$ de cada parte</t>
        </is>
      </c>
      <c r="B29" s="57" t="inlineStr">
        <is>
          <t>do preço</t>
        </is>
      </c>
      <c r="C29" s="25" t="n"/>
    </row>
  </sheetData>
  <mergeCells count="18">
    <mergeCell ref="B21:C21"/>
    <mergeCell ref="B16:C16"/>
    <mergeCell ref="A1:G1"/>
    <mergeCell ref="B24:C24"/>
    <mergeCell ref="B26:C26"/>
    <mergeCell ref="B25:C25"/>
    <mergeCell ref="B29:C29"/>
    <mergeCell ref="B19:C19"/>
    <mergeCell ref="B20:C20"/>
    <mergeCell ref="B27:C27"/>
    <mergeCell ref="B28:C28"/>
    <mergeCell ref="B23:C23"/>
    <mergeCell ref="B22:C22"/>
    <mergeCell ref="A2:G2"/>
    <mergeCell ref="B17:C17"/>
    <mergeCell ref="A15:C15"/>
    <mergeCell ref="A4:C4"/>
    <mergeCell ref="B18:C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2026-06-13T02:40:58Z</dcterms:created>
  <dcterms:modified xsi:type="dcterms:W3CDTF">2026-06-13T02:40:59Z</dcterms:modified>
</cp:coreProperties>
</file>