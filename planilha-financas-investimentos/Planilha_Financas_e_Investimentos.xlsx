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ncamentos" sheetId="2" state="visible" r:id="rId2"/>
    <sheet name="Orcamento" sheetId="3" state="visible" r:id="rId3"/>
    <sheet name="Carteira" sheetId="4" state="visible" r:id="rId4"/>
    <sheet name="Simulador" sheetId="5" state="visible" r:id="rId5"/>
    <sheet name="Independencia" sheetId="6" state="visible" r:id="rId6"/>
    <sheet name="Instrucoes" sheetId="7" state="visible" r:id="rId7"/>
    <sheet name="Confi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&quot;R$&quot; #,##0.00"/>
    <numFmt numFmtId="167" formatCode="&quot;R$&quot; #,##0"/>
    <numFmt numFmtId="168" formatCode="0.0%"/>
    <numFmt numFmtId="169" formatCode="0.0"/>
  </numFmts>
  <fonts count="1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6B7280"/>
      <sz val="9"/>
    </font>
    <font>
      <b val="1"/>
      <color rgb="00FFFFFF"/>
      <sz val="10"/>
    </font>
    <font>
      <sz val="10"/>
    </font>
    <font>
      <b val="1"/>
      <sz val="11"/>
    </font>
    <font>
      <b val="1"/>
      <color rgb="001E8E5A"/>
      <sz val="11"/>
    </font>
    <font>
      <b val="1"/>
      <color rgb="000E7C7B"/>
      <sz val="11"/>
    </font>
    <font>
      <b val="1"/>
      <color rgb="000E7C7B"/>
      <sz val="12"/>
    </font>
    <font>
      <b val="1"/>
      <sz val="10"/>
    </font>
    <font>
      <b val="1"/>
      <color rgb="00B7791F"/>
      <sz val="11"/>
    </font>
    <font>
      <b val="1"/>
      <color rgb="00B7791F"/>
      <sz val="12"/>
    </font>
    <font>
      <b val="1"/>
      <color rgb="00FFFFFF"/>
      <sz val="9"/>
    </font>
    <font>
      <b val="1"/>
      <color rgb="00FFFFFF"/>
      <sz val="18"/>
    </font>
    <font>
      <b val="1"/>
      <color rgb="001F2A44"/>
      <sz val="11"/>
    </font>
  </fonts>
  <fills count="14">
    <fill>
      <patternFill/>
    </fill>
    <fill>
      <patternFill patternType="gray125"/>
    </fill>
    <fill>
      <patternFill patternType="solid">
        <fgColor rgb="002E3E5C"/>
      </patternFill>
    </fill>
    <fill>
      <patternFill patternType="solid">
        <fgColor rgb="002563EB"/>
      </patternFill>
    </fill>
    <fill>
      <patternFill patternType="solid">
        <fgColor rgb="00D97706"/>
      </patternFill>
    </fill>
    <fill>
      <patternFill patternType="solid">
        <fgColor rgb="00FFF7DB"/>
      </patternFill>
    </fill>
    <fill>
      <patternFill patternType="solid">
        <fgColor rgb="00E3F4EC"/>
      </patternFill>
    </fill>
    <fill>
      <patternFill patternType="solid">
        <fgColor rgb="00C0392B"/>
      </patternFill>
    </fill>
    <fill>
      <patternFill patternType="solid">
        <fgColor rgb="001E8E5A"/>
      </patternFill>
    </fill>
    <fill>
      <patternFill patternType="solid">
        <fgColor rgb="001F2A44"/>
      </patternFill>
    </fill>
    <fill>
      <patternFill patternType="solid">
        <fgColor rgb="000E7C7B"/>
      </patternFill>
    </fill>
    <fill>
      <patternFill patternType="solid">
        <fgColor rgb="006D28D9"/>
      </patternFill>
    </fill>
    <fill>
      <patternFill patternType="solid">
        <fgColor rgb="00F3F4F6"/>
      </patternFill>
    </fill>
    <fill>
      <patternFill patternType="solid">
        <fgColor rgb="00B7791F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B7791F"/>
      </left>
      <right style="thin">
        <color rgb="00B7791F"/>
      </right>
      <top style="thin">
        <color rgb="00B7791F"/>
      </top>
      <bottom style="thin">
        <color rgb="00B7791F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2" fillId="9" borderId="0" applyAlignment="1" pivotButton="0" quotePrefix="0" xfId="0">
      <alignment horizontal="center" vertical="center"/>
    </xf>
    <xf numFmtId="0" fontId="1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3" fillId="10" borderId="0" applyAlignment="1" pivotButton="0" quotePrefix="0" xfId="0">
      <alignment horizontal="center" vertical="center"/>
    </xf>
    <xf numFmtId="0" fontId="0" fillId="10" borderId="0" pivotButton="0" quotePrefix="0" xfId="0"/>
    <xf numFmtId="167" fontId="14" fillId="8" borderId="0" applyAlignment="1" pivotButton="0" quotePrefix="0" xfId="0">
      <alignment horizontal="center" vertical="center"/>
    </xf>
    <xf numFmtId="167" fontId="14" fillId="7" borderId="0" applyAlignment="1" pivotButton="0" quotePrefix="0" xfId="0">
      <alignment horizontal="center" vertical="center"/>
    </xf>
    <xf numFmtId="167" fontId="14" fillId="3" borderId="0" applyAlignment="1" pivotButton="0" quotePrefix="0" xfId="0">
      <alignment horizontal="center" vertical="center"/>
    </xf>
    <xf numFmtId="168" fontId="14" fillId="10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3" fillId="4" borderId="0" applyAlignment="1" pivotButton="0" quotePrefix="0" xfId="0">
      <alignment horizontal="center" vertical="center"/>
    </xf>
    <xf numFmtId="0" fontId="0" fillId="4" borderId="0" pivotButton="0" quotePrefix="0" xfId="0"/>
    <xf numFmtId="167" fontId="14" fillId="2" borderId="0" applyAlignment="1" pivotButton="0" quotePrefix="0" xfId="0">
      <alignment horizontal="center" vertical="center"/>
    </xf>
    <xf numFmtId="167" fontId="14" fillId="11" borderId="0" applyAlignment="1" pivotButton="0" quotePrefix="0" xfId="0">
      <alignment horizontal="center" vertical="center"/>
    </xf>
    <xf numFmtId="168" fontId="14" fillId="13" borderId="0" applyAlignment="1" pivotButton="0" quotePrefix="0" xfId="0">
      <alignment horizontal="center" vertical="center"/>
    </xf>
    <xf numFmtId="167" fontId="14" fillId="4" borderId="0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0" fontId="2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167" fontId="6" fillId="5" borderId="1" pivotButton="0" quotePrefix="0" xfId="0"/>
    <xf numFmtId="167" fontId="0" fillId="0" borderId="1" pivotButton="0" quotePrefix="0" xfId="0"/>
    <xf numFmtId="0" fontId="4" fillId="7" borderId="1" pivotButton="0" quotePrefix="0" xfId="0"/>
    <xf numFmtId="167" fontId="4" fillId="7" borderId="1" pivotButton="0" quotePrefix="0" xfId="0"/>
    <xf numFmtId="0" fontId="7" fillId="6" borderId="1" applyAlignment="1" pivotButton="0" quotePrefix="0" xfId="0">
      <alignment horizontal="left" vertical="center" indent="1"/>
    </xf>
    <xf numFmtId="0" fontId="4" fillId="8" borderId="1" pivotButton="0" quotePrefix="0" xfId="0"/>
    <xf numFmtId="167" fontId="4" fillId="8" borderId="1" pivotButton="0" quotePrefix="0" xfId="0"/>
    <xf numFmtId="0" fontId="4" fillId="3" borderId="1" pivotButton="0" quotePrefix="0" xfId="0"/>
    <xf numFmtId="167" fontId="4" fillId="3" borderId="1" pivotButton="0" quotePrefix="0" xfId="0"/>
    <xf numFmtId="0" fontId="4" fillId="9" borderId="1" pivotButton="0" quotePrefix="0" xfId="0"/>
    <xf numFmtId="167" fontId="4" fillId="9" borderId="1" pivotButton="0" quotePrefix="0" xfId="0"/>
    <xf numFmtId="0" fontId="4" fillId="10" borderId="1" pivotButton="0" quotePrefix="0" xfId="0"/>
    <xf numFmtId="168" fontId="4" fillId="10" borderId="1" pivotButton="0" quotePrefix="0" xfId="0"/>
    <xf numFmtId="0" fontId="2" fillId="11" borderId="0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 wrapText="1"/>
    </xf>
    <xf numFmtId="0" fontId="5" fillId="5" borderId="2" pivotButton="0" quotePrefix="0" xfId="0"/>
    <xf numFmtId="166" fontId="5" fillId="5" borderId="2" pivotButton="0" quotePrefix="0" xfId="0"/>
    <xf numFmtId="168" fontId="0" fillId="0" borderId="1" pivotButton="0" quotePrefix="0" xfId="0"/>
    <xf numFmtId="0" fontId="4" fillId="11" borderId="1" pivotButton="0" quotePrefix="0" xfId="0"/>
    <xf numFmtId="166" fontId="4" fillId="11" borderId="1" pivotButton="0" quotePrefix="0" xfId="0"/>
    <xf numFmtId="168" fontId="4" fillId="11" borderId="1" pivotButton="0" quotePrefix="0" xfId="0"/>
    <xf numFmtId="0" fontId="2" fillId="10" borderId="0" applyAlignment="1" pivotButton="0" quotePrefix="0" xfId="0">
      <alignment horizontal="center" vertical="center"/>
    </xf>
    <xf numFmtId="0" fontId="8" fillId="12" borderId="0" applyAlignment="1" pivotButton="0" quotePrefix="0" xfId="0">
      <alignment horizontal="left" vertical="center" indent="1"/>
    </xf>
    <xf numFmtId="0" fontId="5" fillId="0" borderId="0" pivotButton="0" quotePrefix="0" xfId="0"/>
    <xf numFmtId="167" fontId="6" fillId="5" borderId="2" pivotButton="0" quotePrefix="0" xfId="0"/>
    <xf numFmtId="167" fontId="9" fillId="0" borderId="0" pivotButton="0" quotePrefix="0" xfId="0"/>
    <xf numFmtId="0" fontId="6" fillId="5" borderId="2" pivotButton="0" quotePrefix="0" xfId="0"/>
    <xf numFmtId="0" fontId="10" fillId="0" borderId="0" pivotButton="0" quotePrefix="0" xfId="0"/>
    <xf numFmtId="168" fontId="6" fillId="5" borderId="2" pivotButton="0" quotePrefix="0" xfId="0"/>
    <xf numFmtId="0" fontId="4" fillId="10" borderId="1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 indent="1"/>
    </xf>
    <xf numFmtId="1" fontId="6" fillId="5" borderId="2" pivotButton="0" quotePrefix="0" xfId="0"/>
    <xf numFmtId="167" fontId="12" fillId="0" borderId="0" pivotButton="0" quotePrefix="0" xfId="0"/>
    <xf numFmtId="167" fontId="0" fillId="0" borderId="0" pivotButton="0" quotePrefix="0" xfId="0"/>
    <xf numFmtId="168" fontId="12" fillId="0" borderId="0" pivotButton="0" quotePrefix="0" xfId="0"/>
    <xf numFmtId="169" fontId="12" fillId="0" borderId="0" pivotButton="0" quotePrefix="0" xfId="0"/>
    <xf numFmtId="0" fontId="4" fillId="13" borderId="1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dxfs count="7">
    <dxf>
      <font>
        <b val="1"/>
        <color rgb="001E8E5A"/>
      </font>
      <fill>
        <patternFill patternType="solid">
          <fgColor rgb="00E3F4EC"/>
        </patternFill>
      </fill>
    </dxf>
    <dxf>
      <font>
        <b val="1"/>
        <color rgb="00C0392B"/>
      </font>
      <fill>
        <patternFill patternType="solid">
          <fgColor rgb="00FBE7E4"/>
        </patternFill>
      </fill>
    </dxf>
    <dxf>
      <font>
        <b val="1"/>
        <color rgb="002563EB"/>
      </font>
      <fill>
        <patternFill patternType="solid">
          <fgColor rgb="00E7EEFC"/>
        </patternFill>
      </fill>
    </dxf>
    <dxf>
      <font>
        <b val="1"/>
        <color rgb="00FFD3D3"/>
      </font>
    </dxf>
    <dxf>
      <font>
        <b val="1"/>
        <color rgb="001E8E5A"/>
      </font>
    </dxf>
    <dxf>
      <font>
        <b val="1"/>
        <color rgb="00C0392B"/>
      </font>
    </dxf>
    <dxf>
      <fill>
        <patternFill patternType="solid">
          <fgColor rgb="00E3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Receitas × Despesas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v>Receitas</v>
          </tx>
          <spPr>
            <a:ln>
              <a:prstDash val="solid"/>
            </a:ln>
          </spPr>
          <cat>
            <numRef>
              <f>'Orcamento'!$C$4:$N$4</f>
            </numRef>
          </cat>
          <val>
            <numRef>
              <f>'Orcamento'!$C$26:$N$26</f>
            </numRef>
          </val>
        </ser>
        <ser>
          <idx val="1"/>
          <order val="1"/>
          <tx>
            <v>Despesas</v>
          </tx>
          <spPr>
            <a:ln>
              <a:prstDash val="solid"/>
            </a:ln>
          </spPr>
          <cat>
            <numRef>
              <f>'Orcamento'!$C$4:$N$4</f>
            </numRef>
          </cat>
          <val>
            <numRef>
              <f>'Orcamento'!$C$17:$N$17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Despesas por Categoria (Ano)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'Orcamento'!$A$5:$A$16</f>
            </numRef>
          </cat>
          <val>
            <numRef>
              <f>'Orcamento'!$O$5:$O$16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Composição da Carteira (Valor Atual)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'Carteira'!$A$5:$A$14</f>
            </numRef>
          </cat>
          <val>
            <numRef>
              <f>'Carteira'!$G$5:$G$14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Crescimento do Patrimônio por Cenário</a:t>
            </a:r>
          </a:p>
        </rich>
      </tx>
    </title>
    <plotArea>
      <lineChart>
        <grouping val="standard"/>
        <ser>
          <idx val="0"/>
          <order val="0"/>
          <tx>
            <v>Total Aportado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'Simulador'!$A$12:$A$42</f>
            </numRef>
          </cat>
          <val>
            <numRef>
              <f>'Simulador'!$B$12:$B$42</f>
            </numRef>
          </val>
        </ser>
        <ser>
          <idx val="1"/>
          <order val="1"/>
          <tx>
            <v>Conservador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'Simulador'!$A$12:$A$42</f>
            </numRef>
          </cat>
          <val>
            <numRef>
              <f>'Simulador'!$C$12:$C$42</f>
            </numRef>
          </val>
        </ser>
        <ser>
          <idx val="2"/>
          <order val="2"/>
          <tx>
            <v>Moderado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'Simulador'!$A$12:$A$42</f>
            </numRef>
          </cat>
          <val>
            <numRef>
              <f>'Simulador'!$D$12:$D$42</f>
            </numRef>
          </val>
        </ser>
        <ser>
          <idx val="3"/>
          <order val="3"/>
          <tx>
            <v>Arrojado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'Simulador'!$A$12:$A$42</f>
            </numRef>
          </cat>
          <val>
            <numRef>
              <f>'Simulador'!$E$12:$E$42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Patrimônio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Sua Trajetória até a Independência Financeira</a:t>
            </a:r>
          </a:p>
        </rich>
      </tx>
    </title>
    <plotArea>
      <lineChart>
        <grouping val="standard"/>
        <ser>
          <idx val="0"/>
          <order val="0"/>
          <tx>
            <v>Patrimônio projetado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'Independencia'!$A$20:$A$60</f>
            </numRef>
          </cat>
          <val>
            <numRef>
              <f>'Independencia'!$C$20:$C$60</f>
            </numRef>
          </val>
        </ser>
        <ser>
          <idx val="1"/>
          <order val="1"/>
          <tx>
            <v>Meta FIRE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'Independencia'!$A$20:$A$60</f>
            </numRef>
          </cat>
          <val>
            <numRef>
              <f>'Independencia'!$E$20:$E$60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Anos a partir de hoje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Patrimônio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9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E8E5A"/>
    <outlinePr summaryBelow="1" summaryRight="1"/>
    <pageSetUpPr/>
  </sheetPr>
  <dimension ref="A1:Q3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30" customHeight="1">
      <c r="A1" s="1" t="inlineStr">
        <is>
          <t>📊 PAINEL FINANCEIRO — VISÃO GERAL 2026</t>
        </is>
      </c>
    </row>
    <row r="2" ht="8" customHeight="1"/>
    <row r="3">
      <c r="B3" s="2" t="inlineStr">
        <is>
          <t>RECEITAS NO ANO</t>
        </is>
      </c>
      <c r="C3" s="3" t="n"/>
      <c r="D3" s="3" t="n"/>
      <c r="F3" s="4" t="inlineStr">
        <is>
          <t>DESPESAS NO ANO</t>
        </is>
      </c>
      <c r="G3" s="5" t="n"/>
      <c r="H3" s="5" t="n"/>
      <c r="J3" s="6" t="inlineStr">
        <is>
          <t>INVESTIDO NO ANO</t>
        </is>
      </c>
      <c r="K3" s="7" t="n"/>
      <c r="L3" s="7" t="n"/>
      <c r="N3" s="8" t="inlineStr">
        <is>
          <t>TAXA DE POUPANÇA</t>
        </is>
      </c>
      <c r="O3" s="9" t="n"/>
      <c r="P3" s="9" t="n"/>
    </row>
    <row r="4">
      <c r="B4" s="10">
        <f>SUMIFS(Lancamentos!$E:$E,Lancamentos!$B:$B,"Receita")</f>
        <v/>
      </c>
      <c r="C4" s="3" t="n"/>
      <c r="D4" s="3" t="n"/>
      <c r="F4" s="11">
        <f>SUMIFS(Lancamentos!$E:$E,Lancamentos!$B:$B,"Despesa")</f>
        <v/>
      </c>
      <c r="G4" s="5" t="n"/>
      <c r="H4" s="5" t="n"/>
      <c r="J4" s="12">
        <f>SUMIFS(Lancamentos!$E:$E,Lancamentos!$B:$B,"Investimento")</f>
        <v/>
      </c>
      <c r="K4" s="7" t="n"/>
      <c r="L4" s="7" t="n"/>
      <c r="N4" s="13">
        <f>IFERROR((B4-F4)/B4,0)</f>
        <v/>
      </c>
      <c r="O4" s="9" t="n"/>
      <c r="P4" s="9" t="n"/>
    </row>
    <row r="5">
      <c r="B5" s="3" t="n"/>
      <c r="C5" s="3" t="n"/>
      <c r="D5" s="3" t="n"/>
      <c r="F5" s="5" t="n"/>
      <c r="G5" s="5" t="n"/>
      <c r="H5" s="5" t="n"/>
      <c r="J5" s="7" t="n"/>
      <c r="K5" s="7" t="n"/>
      <c r="L5" s="7" t="n"/>
      <c r="N5" s="9" t="n"/>
      <c r="O5" s="9" t="n"/>
      <c r="P5" s="9" t="n"/>
    </row>
    <row r="6" ht="8" customHeight="1"/>
    <row r="7">
      <c r="B7" s="14" t="inlineStr">
        <is>
          <t>CARTEIRA — VALOR ATUAL</t>
        </is>
      </c>
      <c r="C7" s="15" t="n"/>
      <c r="D7" s="15" t="n"/>
      <c r="F7" s="16" t="inlineStr">
        <is>
          <t>CARTEIRA — RESULTADO</t>
        </is>
      </c>
      <c r="G7" s="17" t="n"/>
      <c r="H7" s="17" t="n"/>
      <c r="J7" s="18" t="inlineStr">
        <is>
          <t>PROGRESSO RUMO AO FIRE</t>
        </is>
      </c>
      <c r="K7" s="19" t="n"/>
      <c r="L7" s="19" t="n"/>
      <c r="N7" s="20" t="inlineStr">
        <is>
          <t>SALDO DO ANO (SOBRA)</t>
        </is>
      </c>
      <c r="O7" s="21" t="n"/>
      <c r="P7" s="21" t="n"/>
    </row>
    <row r="8">
      <c r="B8" s="22">
        <f>Carteira!G25</f>
        <v/>
      </c>
      <c r="C8" s="15" t="n"/>
      <c r="D8" s="15" t="n"/>
      <c r="F8" s="23">
        <f>Carteira!H25</f>
        <v/>
      </c>
      <c r="G8" s="17" t="n"/>
      <c r="H8" s="17" t="n"/>
      <c r="J8" s="24">
        <f>Independencia!B14</f>
        <v/>
      </c>
      <c r="K8" s="19" t="n"/>
      <c r="L8" s="19" t="n"/>
      <c r="N8" s="25">
        <f>B4-F4-J4</f>
        <v/>
      </c>
      <c r="O8" s="21" t="n"/>
      <c r="P8" s="21" t="n"/>
    </row>
    <row r="9">
      <c r="B9" s="15" t="n"/>
      <c r="C9" s="15" t="n"/>
      <c r="D9" s="15" t="n"/>
      <c r="F9" s="17" t="n"/>
      <c r="G9" s="17" t="n"/>
      <c r="H9" s="17" t="n"/>
      <c r="J9" s="19" t="n"/>
      <c r="K9" s="19" t="n"/>
      <c r="L9" s="19" t="n"/>
      <c r="N9" s="21" t="n"/>
      <c r="O9" s="21" t="n"/>
      <c r="P9" s="21" t="n"/>
    </row>
    <row r="10" ht="8" customHeight="1"/>
    <row r="34">
      <c r="B34" s="26" t="inlineStr">
        <is>
          <t>Dica: registre seus lançamentos diariamente na aba Lancamentos — todos os números deste painel se atualizam sozinhos.</t>
        </is>
      </c>
    </row>
  </sheetData>
  <mergeCells count="17">
    <mergeCell ref="J7:L7"/>
    <mergeCell ref="N7:P7"/>
    <mergeCell ref="B3:D3"/>
    <mergeCell ref="B7:D7"/>
    <mergeCell ref="N8:P9"/>
    <mergeCell ref="B8:D9"/>
    <mergeCell ref="B4:D5"/>
    <mergeCell ref="F8:H9"/>
    <mergeCell ref="F4:H5"/>
    <mergeCell ref="F7:H7"/>
    <mergeCell ref="J4:L5"/>
    <mergeCell ref="F3:H3"/>
    <mergeCell ref="N4:P5"/>
    <mergeCell ref="J3:L3"/>
    <mergeCell ref="A1:Q1"/>
    <mergeCell ref="N3:P3"/>
    <mergeCell ref="J8:L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G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34" customWidth="1" min="4" max="4"/>
    <col width="14" customWidth="1" min="5" max="5"/>
    <col width="20" customWidth="1" min="6" max="6"/>
    <col width="6" customWidth="1" min="7" max="7"/>
  </cols>
  <sheetData>
    <row r="1" ht="30" customHeight="1">
      <c r="A1" s="27" t="inlineStr">
        <is>
          <t>💰 CONTROLE FINANCEIRO — LANÇAMENTOS</t>
        </is>
      </c>
    </row>
    <row r="2">
      <c r="A2" s="26" t="inlineStr">
        <is>
          <t>Registre aqui TODA entrada e saída. Use os menus suspensos de Tipo, Categoria e Forma de Pagamento. A coluna Mês é automática.</t>
        </is>
      </c>
    </row>
    <row r="4" ht="26" customHeight="1">
      <c r="A4" s="28" t="inlineStr">
        <is>
          <t>Data</t>
        </is>
      </c>
      <c r="B4" s="28" t="inlineStr">
        <is>
          <t>Tipo</t>
        </is>
      </c>
      <c r="C4" s="28" t="inlineStr">
        <is>
          <t>Categoria</t>
        </is>
      </c>
      <c r="D4" s="28" t="inlineStr">
        <is>
          <t>Descrição</t>
        </is>
      </c>
      <c r="E4" s="28" t="inlineStr">
        <is>
          <t>Valor (R$)</t>
        </is>
      </c>
      <c r="F4" s="28" t="inlineStr">
        <is>
          <t>Forma de Pagamento</t>
        </is>
      </c>
      <c r="G4" s="28" t="inlineStr">
        <is>
          <t>Mês</t>
        </is>
      </c>
    </row>
    <row r="5">
      <c r="A5" s="29" t="n">
        <v>46027</v>
      </c>
      <c r="B5" s="30" t="inlineStr">
        <is>
          <t>Receita</t>
        </is>
      </c>
      <c r="C5" s="30" t="inlineStr">
        <is>
          <t>Salário</t>
        </is>
      </c>
      <c r="D5" s="30" t="inlineStr">
        <is>
          <t>Salário mensal</t>
        </is>
      </c>
      <c r="E5" s="31" t="n">
        <v>8500</v>
      </c>
      <c r="F5" s="30" t="inlineStr">
        <is>
          <t>Transferência</t>
        </is>
      </c>
      <c r="G5" s="30">
        <f>IF(A5="","",MONTH(A5))</f>
        <v/>
      </c>
    </row>
    <row r="6">
      <c r="A6" s="29" t="n">
        <v>46027</v>
      </c>
      <c r="B6" s="30" t="inlineStr">
        <is>
          <t>Despesa</t>
        </is>
      </c>
      <c r="C6" s="30" t="inlineStr">
        <is>
          <t>Moradia</t>
        </is>
      </c>
      <c r="D6" s="30" t="inlineStr">
        <is>
          <t>Aluguel + condomínio</t>
        </is>
      </c>
      <c r="E6" s="31" t="n">
        <v>1800</v>
      </c>
      <c r="F6" s="30" t="inlineStr">
        <is>
          <t>Boleto</t>
        </is>
      </c>
      <c r="G6" s="30">
        <f>IF(A6="","",MONTH(A6))</f>
        <v/>
      </c>
    </row>
    <row r="7">
      <c r="A7" s="29" t="n">
        <v>46029</v>
      </c>
      <c r="B7" s="30" t="inlineStr">
        <is>
          <t>Despesa</t>
        </is>
      </c>
      <c r="C7" s="30" t="inlineStr">
        <is>
          <t>Assinaturas e Serviços</t>
        </is>
      </c>
      <c r="D7" s="30" t="inlineStr">
        <is>
          <t>Internet fibra</t>
        </is>
      </c>
      <c r="E7" s="31" t="n">
        <v>120</v>
      </c>
      <c r="F7" s="30" t="inlineStr">
        <is>
          <t>Débito Automático</t>
        </is>
      </c>
      <c r="G7" s="30">
        <f>IF(A7="","",MONTH(A7))</f>
        <v/>
      </c>
    </row>
    <row r="8">
      <c r="A8" s="29" t="n">
        <v>46030</v>
      </c>
      <c r="B8" s="30" t="inlineStr">
        <is>
          <t>Despesa</t>
        </is>
      </c>
      <c r="C8" s="30" t="inlineStr">
        <is>
          <t>Moradia</t>
        </is>
      </c>
      <c r="D8" s="30" t="inlineStr">
        <is>
          <t>Energia elétrica</t>
        </is>
      </c>
      <c r="E8" s="31" t="n">
        <v>210</v>
      </c>
      <c r="F8" s="30" t="inlineStr">
        <is>
          <t>Boleto</t>
        </is>
      </c>
      <c r="G8" s="30">
        <f>IF(A8="","",MONTH(A8))</f>
        <v/>
      </c>
    </row>
    <row r="9">
      <c r="A9" s="29" t="n">
        <v>46032</v>
      </c>
      <c r="B9" s="30" t="inlineStr">
        <is>
          <t>Despesa</t>
        </is>
      </c>
      <c r="C9" s="30" t="inlineStr">
        <is>
          <t>Saúde</t>
        </is>
      </c>
      <c r="D9" s="30" t="inlineStr">
        <is>
          <t>Plano de saúde</t>
        </is>
      </c>
      <c r="E9" s="31" t="n">
        <v>450</v>
      </c>
      <c r="F9" s="30" t="inlineStr">
        <is>
          <t>Débito Automático</t>
        </is>
      </c>
      <c r="G9" s="30">
        <f>IF(A9="","",MONTH(A9))</f>
        <v/>
      </c>
    </row>
    <row r="10">
      <c r="A10" s="29" t="n">
        <v>46032</v>
      </c>
      <c r="B10" s="30" t="inlineStr">
        <is>
          <t>Despesa</t>
        </is>
      </c>
      <c r="C10" s="30" t="inlineStr">
        <is>
          <t>Alimentação</t>
        </is>
      </c>
      <c r="D10" s="30" t="inlineStr">
        <is>
          <t>Supermercado do mês</t>
        </is>
      </c>
      <c r="E10" s="31" t="n">
        <v>980</v>
      </c>
      <c r="F10" s="30" t="inlineStr">
        <is>
          <t>Cartão de Crédito</t>
        </is>
      </c>
      <c r="G10" s="30">
        <f>IF(A10="","",MONTH(A10))</f>
        <v/>
      </c>
    </row>
    <row r="11">
      <c r="A11" s="29" t="n">
        <v>46034</v>
      </c>
      <c r="B11" s="30" t="inlineStr">
        <is>
          <t>Despesa</t>
        </is>
      </c>
      <c r="C11" s="30" t="inlineStr">
        <is>
          <t>Transporte</t>
        </is>
      </c>
      <c r="D11" s="30" t="inlineStr">
        <is>
          <t>Combustível</t>
        </is>
      </c>
      <c r="E11" s="31" t="n">
        <v>340</v>
      </c>
      <c r="F11" s="30" t="inlineStr">
        <is>
          <t>Cartão de Crédito</t>
        </is>
      </c>
      <c r="G11" s="30">
        <f>IF(A11="","",MONTH(A11))</f>
        <v/>
      </c>
    </row>
    <row r="12">
      <c r="A12" s="29" t="n">
        <v>46037</v>
      </c>
      <c r="B12" s="30" t="inlineStr">
        <is>
          <t>Investimento</t>
        </is>
      </c>
      <c r="C12" s="30" t="inlineStr">
        <is>
          <t>Aporte Investimentos</t>
        </is>
      </c>
      <c r="D12" s="30" t="inlineStr">
        <is>
          <t>Aporte na corretora</t>
        </is>
      </c>
      <c r="E12" s="31" t="n">
        <v>1500</v>
      </c>
      <c r="F12" s="30" t="inlineStr">
        <is>
          <t>Pix</t>
        </is>
      </c>
      <c r="G12" s="30">
        <f>IF(A12="","",MONTH(A12))</f>
        <v/>
      </c>
    </row>
    <row r="13">
      <c r="A13" s="29" t="n">
        <v>46037</v>
      </c>
      <c r="B13" s="30" t="inlineStr">
        <is>
          <t>Despesa</t>
        </is>
      </c>
      <c r="C13" s="30" t="inlineStr">
        <is>
          <t>Transporte</t>
        </is>
      </c>
      <c r="D13" s="30" t="inlineStr">
        <is>
          <t>IPVA 2026 (cota única)</t>
        </is>
      </c>
      <c r="E13" s="31" t="n">
        <v>1450</v>
      </c>
      <c r="F13" s="30" t="inlineStr">
        <is>
          <t>Pix</t>
        </is>
      </c>
      <c r="G13" s="30">
        <f>IF(A13="","",MONTH(A13))</f>
        <v/>
      </c>
    </row>
    <row r="14">
      <c r="A14" s="29" t="n">
        <v>46040</v>
      </c>
      <c r="B14" s="30" t="inlineStr">
        <is>
          <t>Despesa</t>
        </is>
      </c>
      <c r="C14" s="30" t="inlineStr">
        <is>
          <t>Lazer</t>
        </is>
      </c>
      <c r="D14" s="30" t="inlineStr">
        <is>
          <t>Restaurantes e delivery</t>
        </is>
      </c>
      <c r="E14" s="31" t="n">
        <v>260</v>
      </c>
      <c r="F14" s="30" t="inlineStr">
        <is>
          <t>Cartão de Crédito</t>
        </is>
      </c>
      <c r="G14" s="30">
        <f>IF(A14="","",MONTH(A14))</f>
        <v/>
      </c>
    </row>
    <row r="15">
      <c r="A15" s="29" t="n">
        <v>46042</v>
      </c>
      <c r="B15" s="30" t="inlineStr">
        <is>
          <t>Despesa</t>
        </is>
      </c>
      <c r="C15" s="30" t="inlineStr">
        <is>
          <t>Saúde</t>
        </is>
      </c>
      <c r="D15" s="30" t="inlineStr">
        <is>
          <t>Academia</t>
        </is>
      </c>
      <c r="E15" s="31" t="n">
        <v>110</v>
      </c>
      <c r="F15" s="30" t="inlineStr">
        <is>
          <t>Débito Automático</t>
        </is>
      </c>
      <c r="G15" s="30">
        <f>IF(A15="","",MONTH(A15))</f>
        <v/>
      </c>
    </row>
    <row r="16">
      <c r="A16" s="29" t="n">
        <v>46042</v>
      </c>
      <c r="B16" s="30" t="inlineStr">
        <is>
          <t>Despesa</t>
        </is>
      </c>
      <c r="C16" s="30" t="inlineStr">
        <is>
          <t>Educação</t>
        </is>
      </c>
      <c r="D16" s="30" t="inlineStr">
        <is>
          <t>Material escolar</t>
        </is>
      </c>
      <c r="E16" s="31" t="n">
        <v>320</v>
      </c>
      <c r="F16" s="30" t="inlineStr">
        <is>
          <t>Cartão de Crédito</t>
        </is>
      </c>
      <c r="G16" s="30">
        <f>IF(A16="","",MONTH(A16))</f>
        <v/>
      </c>
    </row>
    <row r="17">
      <c r="A17" s="29" t="n">
        <v>46044</v>
      </c>
      <c r="B17" s="30" t="inlineStr">
        <is>
          <t>Despesa</t>
        </is>
      </c>
      <c r="C17" s="30" t="inlineStr">
        <is>
          <t>Assinaturas e Serviços</t>
        </is>
      </c>
      <c r="D17" s="30" t="inlineStr">
        <is>
          <t>Streamings</t>
        </is>
      </c>
      <c r="E17" s="31" t="n">
        <v>65</v>
      </c>
      <c r="F17" s="30" t="inlineStr">
        <is>
          <t>Cartão de Crédito</t>
        </is>
      </c>
      <c r="G17" s="30">
        <f>IF(A17="","",MONTH(A17))</f>
        <v/>
      </c>
    </row>
    <row r="18">
      <c r="A18" s="29" t="n">
        <v>46047</v>
      </c>
      <c r="B18" s="30" t="inlineStr">
        <is>
          <t>Receita</t>
        </is>
      </c>
      <c r="C18" s="30" t="inlineStr">
        <is>
          <t>Dividendos e Proventos</t>
        </is>
      </c>
      <c r="D18" s="30" t="inlineStr">
        <is>
          <t>Dividendos da carteira</t>
        </is>
      </c>
      <c r="E18" s="31" t="n">
        <v>125</v>
      </c>
      <c r="F18" s="30" t="inlineStr">
        <is>
          <t>Transferência</t>
        </is>
      </c>
      <c r="G18" s="30">
        <f>IF(A18="","",MONTH(A18))</f>
        <v/>
      </c>
    </row>
    <row r="19">
      <c r="A19" s="29" t="n">
        <v>46049</v>
      </c>
      <c r="B19" s="30" t="inlineStr">
        <is>
          <t>Despesa</t>
        </is>
      </c>
      <c r="C19" s="30" t="inlineStr">
        <is>
          <t>Alimentação</t>
        </is>
      </c>
      <c r="D19" s="30" t="inlineStr">
        <is>
          <t>Feira e padaria</t>
        </is>
      </c>
      <c r="E19" s="31" t="n">
        <v>180</v>
      </c>
      <c r="F19" s="30" t="inlineStr">
        <is>
          <t>Pix</t>
        </is>
      </c>
      <c r="G19" s="30">
        <f>IF(A19="","",MONTH(A19))</f>
        <v/>
      </c>
    </row>
    <row r="20">
      <c r="A20" s="29" t="n">
        <v>46058</v>
      </c>
      <c r="B20" s="30" t="inlineStr">
        <is>
          <t>Receita</t>
        </is>
      </c>
      <c r="C20" s="30" t="inlineStr">
        <is>
          <t>Salário</t>
        </is>
      </c>
      <c r="D20" s="30" t="inlineStr">
        <is>
          <t>Salário mensal</t>
        </is>
      </c>
      <c r="E20" s="31" t="n">
        <v>8500</v>
      </c>
      <c r="F20" s="30" t="inlineStr">
        <is>
          <t>Transferência</t>
        </is>
      </c>
      <c r="G20" s="30">
        <f>IF(A20="","",MONTH(A20))</f>
        <v/>
      </c>
    </row>
    <row r="21">
      <c r="A21" s="29" t="n">
        <v>46058</v>
      </c>
      <c r="B21" s="30" t="inlineStr">
        <is>
          <t>Despesa</t>
        </is>
      </c>
      <c r="C21" s="30" t="inlineStr">
        <is>
          <t>Moradia</t>
        </is>
      </c>
      <c r="D21" s="30" t="inlineStr">
        <is>
          <t>Aluguel + condomínio</t>
        </is>
      </c>
      <c r="E21" s="31" t="n">
        <v>1800</v>
      </c>
      <c r="F21" s="30" t="inlineStr">
        <is>
          <t>Boleto</t>
        </is>
      </c>
      <c r="G21" s="30">
        <f>IF(A21="","",MONTH(A21))</f>
        <v/>
      </c>
    </row>
    <row r="22">
      <c r="A22" s="29" t="n">
        <v>46060</v>
      </c>
      <c r="B22" s="30" t="inlineStr">
        <is>
          <t>Despesa</t>
        </is>
      </c>
      <c r="C22" s="30" t="inlineStr">
        <is>
          <t>Assinaturas e Serviços</t>
        </is>
      </c>
      <c r="D22" s="30" t="inlineStr">
        <is>
          <t>Internet fibra</t>
        </is>
      </c>
      <c r="E22" s="31" t="n">
        <v>120</v>
      </c>
      <c r="F22" s="30" t="inlineStr">
        <is>
          <t>Débito Automático</t>
        </is>
      </c>
      <c r="G22" s="30">
        <f>IF(A22="","",MONTH(A22))</f>
        <v/>
      </c>
    </row>
    <row r="23">
      <c r="A23" s="29" t="n">
        <v>46061</v>
      </c>
      <c r="B23" s="30" t="inlineStr">
        <is>
          <t>Despesa</t>
        </is>
      </c>
      <c r="C23" s="30" t="inlineStr">
        <is>
          <t>Moradia</t>
        </is>
      </c>
      <c r="D23" s="30" t="inlineStr">
        <is>
          <t>Energia elétrica</t>
        </is>
      </c>
      <c r="E23" s="31" t="n">
        <v>195</v>
      </c>
      <c r="F23" s="30" t="inlineStr">
        <is>
          <t>Boleto</t>
        </is>
      </c>
      <c r="G23" s="30">
        <f>IF(A23="","",MONTH(A23))</f>
        <v/>
      </c>
    </row>
    <row r="24">
      <c r="A24" s="29" t="n">
        <v>46063</v>
      </c>
      <c r="B24" s="30" t="inlineStr">
        <is>
          <t>Despesa</t>
        </is>
      </c>
      <c r="C24" s="30" t="inlineStr">
        <is>
          <t>Saúde</t>
        </is>
      </c>
      <c r="D24" s="30" t="inlineStr">
        <is>
          <t>Plano de saúde</t>
        </is>
      </c>
      <c r="E24" s="31" t="n">
        <v>450</v>
      </c>
      <c r="F24" s="30" t="inlineStr">
        <is>
          <t>Débito Automático</t>
        </is>
      </c>
      <c r="G24" s="30">
        <f>IF(A24="","",MONTH(A24))</f>
        <v/>
      </c>
    </row>
    <row r="25">
      <c r="A25" s="29" t="n">
        <v>46063</v>
      </c>
      <c r="B25" s="30" t="inlineStr">
        <is>
          <t>Despesa</t>
        </is>
      </c>
      <c r="C25" s="30" t="inlineStr">
        <is>
          <t>Alimentação</t>
        </is>
      </c>
      <c r="D25" s="30" t="inlineStr">
        <is>
          <t>Supermercado do mês</t>
        </is>
      </c>
      <c r="E25" s="31" t="n">
        <v>1040</v>
      </c>
      <c r="F25" s="30" t="inlineStr">
        <is>
          <t>Cartão de Crédito</t>
        </is>
      </c>
      <c r="G25" s="30">
        <f>IF(A25="","",MONTH(A25))</f>
        <v/>
      </c>
    </row>
    <row r="26">
      <c r="A26" s="29" t="n">
        <v>46063</v>
      </c>
      <c r="B26" s="30" t="inlineStr">
        <is>
          <t>Receita</t>
        </is>
      </c>
      <c r="C26" s="30" t="inlineStr">
        <is>
          <t>Freelance / Renda Extra</t>
        </is>
      </c>
      <c r="D26" s="30" t="inlineStr">
        <is>
          <t>Projeto freelance</t>
        </is>
      </c>
      <c r="E26" s="31" t="n">
        <v>1200</v>
      </c>
      <c r="F26" s="30" t="inlineStr">
        <is>
          <t>Pix</t>
        </is>
      </c>
      <c r="G26" s="30">
        <f>IF(A26="","",MONTH(A26))</f>
        <v/>
      </c>
    </row>
    <row r="27">
      <c r="A27" s="29" t="n">
        <v>46065</v>
      </c>
      <c r="B27" s="30" t="inlineStr">
        <is>
          <t>Despesa</t>
        </is>
      </c>
      <c r="C27" s="30" t="inlineStr">
        <is>
          <t>Transporte</t>
        </is>
      </c>
      <c r="D27" s="30" t="inlineStr">
        <is>
          <t>Combustível</t>
        </is>
      </c>
      <c r="E27" s="31" t="n">
        <v>360</v>
      </c>
      <c r="F27" s="30" t="inlineStr">
        <is>
          <t>Cartão de Crédito</t>
        </is>
      </c>
      <c r="G27" s="30">
        <f>IF(A27="","",MONTH(A27))</f>
        <v/>
      </c>
    </row>
    <row r="28">
      <c r="A28" s="29" t="n">
        <v>46067</v>
      </c>
      <c r="B28" s="30" t="inlineStr">
        <is>
          <t>Despesa</t>
        </is>
      </c>
      <c r="C28" s="30" t="inlineStr">
        <is>
          <t>Lazer</t>
        </is>
      </c>
      <c r="D28" s="30" t="inlineStr">
        <is>
          <t>Jantar especial</t>
        </is>
      </c>
      <c r="E28" s="31" t="n">
        <v>180</v>
      </c>
      <c r="F28" s="30" t="inlineStr">
        <is>
          <t>Cartão de Crédito</t>
        </is>
      </c>
      <c r="G28" s="30">
        <f>IF(A28="","",MONTH(A28))</f>
        <v/>
      </c>
    </row>
    <row r="29">
      <c r="A29" s="29" t="n">
        <v>46068</v>
      </c>
      <c r="B29" s="30" t="inlineStr">
        <is>
          <t>Investimento</t>
        </is>
      </c>
      <c r="C29" s="30" t="inlineStr">
        <is>
          <t>Aporte Investimentos</t>
        </is>
      </c>
      <c r="D29" s="30" t="inlineStr">
        <is>
          <t>Aporte na corretora</t>
        </is>
      </c>
      <c r="E29" s="31" t="n">
        <v>1500</v>
      </c>
      <c r="F29" s="30" t="inlineStr">
        <is>
          <t>Pix</t>
        </is>
      </c>
      <c r="G29" s="30">
        <f>IF(A29="","",MONTH(A29))</f>
        <v/>
      </c>
    </row>
    <row r="30">
      <c r="A30" s="29" t="n">
        <v>46071</v>
      </c>
      <c r="B30" s="30" t="inlineStr">
        <is>
          <t>Despesa</t>
        </is>
      </c>
      <c r="C30" s="30" t="inlineStr">
        <is>
          <t>Lazer</t>
        </is>
      </c>
      <c r="D30" s="30" t="inlineStr">
        <is>
          <t>Restaurantes e delivery</t>
        </is>
      </c>
      <c r="E30" s="31" t="n">
        <v>230</v>
      </c>
      <c r="F30" s="30" t="inlineStr">
        <is>
          <t>Cartão de Crédito</t>
        </is>
      </c>
      <c r="G30" s="30">
        <f>IF(A30="","",MONTH(A30))</f>
        <v/>
      </c>
    </row>
    <row r="31">
      <c r="A31" s="29" t="n">
        <v>46073</v>
      </c>
      <c r="B31" s="30" t="inlineStr">
        <is>
          <t>Despesa</t>
        </is>
      </c>
      <c r="C31" s="30" t="inlineStr">
        <is>
          <t>Saúde</t>
        </is>
      </c>
      <c r="D31" s="30" t="inlineStr">
        <is>
          <t>Academia</t>
        </is>
      </c>
      <c r="E31" s="31" t="n">
        <v>110</v>
      </c>
      <c r="F31" s="30" t="inlineStr">
        <is>
          <t>Débito Automático</t>
        </is>
      </c>
      <c r="G31" s="30">
        <f>IF(A31="","",MONTH(A31))</f>
        <v/>
      </c>
    </row>
    <row r="32">
      <c r="A32" s="29" t="n">
        <v>46075</v>
      </c>
      <c r="B32" s="30" t="inlineStr">
        <is>
          <t>Despesa</t>
        </is>
      </c>
      <c r="C32" s="30" t="inlineStr">
        <is>
          <t>Assinaturas e Serviços</t>
        </is>
      </c>
      <c r="D32" s="30" t="inlineStr">
        <is>
          <t>Streamings</t>
        </is>
      </c>
      <c r="E32" s="31" t="n">
        <v>65</v>
      </c>
      <c r="F32" s="30" t="inlineStr">
        <is>
          <t>Cartão de Crédito</t>
        </is>
      </c>
      <c r="G32" s="30">
        <f>IF(A32="","",MONTH(A32))</f>
        <v/>
      </c>
    </row>
    <row r="33">
      <c r="A33" s="29" t="n">
        <v>46078</v>
      </c>
      <c r="B33" s="30" t="inlineStr">
        <is>
          <t>Receita</t>
        </is>
      </c>
      <c r="C33" s="30" t="inlineStr">
        <is>
          <t>Dividendos e Proventos</t>
        </is>
      </c>
      <c r="D33" s="30" t="inlineStr">
        <is>
          <t>Dividendos da carteira</t>
        </is>
      </c>
      <c r="E33" s="31" t="n">
        <v>140</v>
      </c>
      <c r="F33" s="30" t="inlineStr">
        <is>
          <t>Transferência</t>
        </is>
      </c>
      <c r="G33" s="30">
        <f>IF(A33="","",MONTH(A33))</f>
        <v/>
      </c>
    </row>
    <row r="34">
      <c r="A34" s="29" t="n">
        <v>46080</v>
      </c>
      <c r="B34" s="30" t="inlineStr">
        <is>
          <t>Despesa</t>
        </is>
      </c>
      <c r="C34" s="30" t="inlineStr">
        <is>
          <t>Alimentação</t>
        </is>
      </c>
      <c r="D34" s="30" t="inlineStr">
        <is>
          <t>Feira e padaria</t>
        </is>
      </c>
      <c r="E34" s="31" t="n">
        <v>165</v>
      </c>
      <c r="F34" s="30" t="inlineStr">
        <is>
          <t>Pix</t>
        </is>
      </c>
      <c r="G34" s="30">
        <f>IF(A34="","",MONTH(A34))</f>
        <v/>
      </c>
    </row>
    <row r="35">
      <c r="A35" s="29" t="n">
        <v>46086</v>
      </c>
      <c r="B35" s="30" t="inlineStr">
        <is>
          <t>Receita</t>
        </is>
      </c>
      <c r="C35" s="30" t="inlineStr">
        <is>
          <t>Salário</t>
        </is>
      </c>
      <c r="D35" s="30" t="inlineStr">
        <is>
          <t>Salário mensal</t>
        </is>
      </c>
      <c r="E35" s="31" t="n">
        <v>8500</v>
      </c>
      <c r="F35" s="30" t="inlineStr">
        <is>
          <t>Transferência</t>
        </is>
      </c>
      <c r="G35" s="30">
        <f>IF(A35="","",MONTH(A35))</f>
        <v/>
      </c>
    </row>
    <row r="36">
      <c r="A36" s="29" t="n">
        <v>46086</v>
      </c>
      <c r="B36" s="30" t="inlineStr">
        <is>
          <t>Despesa</t>
        </is>
      </c>
      <c r="C36" s="30" t="inlineStr">
        <is>
          <t>Moradia</t>
        </is>
      </c>
      <c r="D36" s="30" t="inlineStr">
        <is>
          <t>Aluguel + condomínio</t>
        </is>
      </c>
      <c r="E36" s="31" t="n">
        <v>1800</v>
      </c>
      <c r="F36" s="30" t="inlineStr">
        <is>
          <t>Boleto</t>
        </is>
      </c>
      <c r="G36" s="30">
        <f>IF(A36="","",MONTH(A36))</f>
        <v/>
      </c>
    </row>
    <row r="37">
      <c r="A37" s="29" t="n">
        <v>46088</v>
      </c>
      <c r="B37" s="30" t="inlineStr">
        <is>
          <t>Despesa</t>
        </is>
      </c>
      <c r="C37" s="30" t="inlineStr">
        <is>
          <t>Assinaturas e Serviços</t>
        </is>
      </c>
      <c r="D37" s="30" t="inlineStr">
        <is>
          <t>Internet fibra</t>
        </is>
      </c>
      <c r="E37" s="31" t="n">
        <v>120</v>
      </c>
      <c r="F37" s="30" t="inlineStr">
        <is>
          <t>Débito Automático</t>
        </is>
      </c>
      <c r="G37" s="30">
        <f>IF(A37="","",MONTH(A37))</f>
        <v/>
      </c>
    </row>
    <row r="38">
      <c r="A38" s="29" t="n">
        <v>46089</v>
      </c>
      <c r="B38" s="30" t="inlineStr">
        <is>
          <t>Despesa</t>
        </is>
      </c>
      <c r="C38" s="30" t="inlineStr">
        <is>
          <t>Moradia</t>
        </is>
      </c>
      <c r="D38" s="30" t="inlineStr">
        <is>
          <t>Energia elétrica</t>
        </is>
      </c>
      <c r="E38" s="31" t="n">
        <v>188</v>
      </c>
      <c r="F38" s="30" t="inlineStr">
        <is>
          <t>Boleto</t>
        </is>
      </c>
      <c r="G38" s="30">
        <f>IF(A38="","",MONTH(A38))</f>
        <v/>
      </c>
    </row>
    <row r="39">
      <c r="A39" s="29" t="n">
        <v>46089</v>
      </c>
      <c r="B39" s="30" t="inlineStr">
        <is>
          <t>Despesa</t>
        </is>
      </c>
      <c r="C39" s="30" t="inlineStr">
        <is>
          <t>Vestuário</t>
        </is>
      </c>
      <c r="D39" s="30" t="inlineStr">
        <is>
          <t>Roupas</t>
        </is>
      </c>
      <c r="E39" s="31" t="n">
        <v>240</v>
      </c>
      <c r="F39" s="30" t="inlineStr">
        <is>
          <t>Cartão de Crédito</t>
        </is>
      </c>
      <c r="G39" s="30">
        <f>IF(A39="","",MONTH(A39))</f>
        <v/>
      </c>
    </row>
    <row r="40">
      <c r="A40" s="29" t="n">
        <v>46091</v>
      </c>
      <c r="B40" s="30" t="inlineStr">
        <is>
          <t>Despesa</t>
        </is>
      </c>
      <c r="C40" s="30" t="inlineStr">
        <is>
          <t>Saúde</t>
        </is>
      </c>
      <c r="D40" s="30" t="inlineStr">
        <is>
          <t>Plano de saúde</t>
        </is>
      </c>
      <c r="E40" s="31" t="n">
        <v>450</v>
      </c>
      <c r="F40" s="30" t="inlineStr">
        <is>
          <t>Débito Automático</t>
        </is>
      </c>
      <c r="G40" s="30">
        <f>IF(A40="","",MONTH(A40))</f>
        <v/>
      </c>
    </row>
    <row r="41">
      <c r="A41" s="29" t="n">
        <v>46091</v>
      </c>
      <c r="B41" s="30" t="inlineStr">
        <is>
          <t>Despesa</t>
        </is>
      </c>
      <c r="C41" s="30" t="inlineStr">
        <is>
          <t>Alimentação</t>
        </is>
      </c>
      <c r="D41" s="30" t="inlineStr">
        <is>
          <t>Supermercado do mês</t>
        </is>
      </c>
      <c r="E41" s="31" t="n">
        <v>1010</v>
      </c>
      <c r="F41" s="30" t="inlineStr">
        <is>
          <t>Cartão de Crédito</t>
        </is>
      </c>
      <c r="G41" s="30">
        <f>IF(A41="","",MONTH(A41))</f>
        <v/>
      </c>
    </row>
    <row r="42">
      <c r="A42" s="29" t="n">
        <v>46093</v>
      </c>
      <c r="B42" s="30" t="inlineStr">
        <is>
          <t>Despesa</t>
        </is>
      </c>
      <c r="C42" s="30" t="inlineStr">
        <is>
          <t>Transporte</t>
        </is>
      </c>
      <c r="D42" s="30" t="inlineStr">
        <is>
          <t>Combustível</t>
        </is>
      </c>
      <c r="E42" s="31" t="n">
        <v>310</v>
      </c>
      <c r="F42" s="30" t="inlineStr">
        <is>
          <t>Cartão de Crédito</t>
        </is>
      </c>
      <c r="G42" s="30">
        <f>IF(A42="","",MONTH(A42))</f>
        <v/>
      </c>
    </row>
    <row r="43">
      <c r="A43" s="29" t="n">
        <v>46096</v>
      </c>
      <c r="B43" s="30" t="inlineStr">
        <is>
          <t>Investimento</t>
        </is>
      </c>
      <c r="C43" s="30" t="inlineStr">
        <is>
          <t>Aporte Investimentos</t>
        </is>
      </c>
      <c r="D43" s="30" t="inlineStr">
        <is>
          <t>Aporte na corretora</t>
        </is>
      </c>
      <c r="E43" s="31" t="n">
        <v>1500</v>
      </c>
      <c r="F43" s="30" t="inlineStr">
        <is>
          <t>Pix</t>
        </is>
      </c>
      <c r="G43" s="30">
        <f>IF(A43="","",MONTH(A43))</f>
        <v/>
      </c>
    </row>
    <row r="44">
      <c r="A44" s="29" t="n">
        <v>46099</v>
      </c>
      <c r="B44" s="30" t="inlineStr">
        <is>
          <t>Despesa</t>
        </is>
      </c>
      <c r="C44" s="30" t="inlineStr">
        <is>
          <t>Lazer</t>
        </is>
      </c>
      <c r="D44" s="30" t="inlineStr">
        <is>
          <t>Restaurantes e delivery</t>
        </is>
      </c>
      <c r="E44" s="31" t="n">
        <v>290</v>
      </c>
      <c r="F44" s="30" t="inlineStr">
        <is>
          <t>Cartão de Crédito</t>
        </is>
      </c>
      <c r="G44" s="30">
        <f>IF(A44="","",MONTH(A44))</f>
        <v/>
      </c>
    </row>
    <row r="45">
      <c r="A45" s="29" t="n">
        <v>46101</v>
      </c>
      <c r="B45" s="30" t="inlineStr">
        <is>
          <t>Despesa</t>
        </is>
      </c>
      <c r="C45" s="30" t="inlineStr">
        <is>
          <t>Saúde</t>
        </is>
      </c>
      <c r="D45" s="30" t="inlineStr">
        <is>
          <t>Academia</t>
        </is>
      </c>
      <c r="E45" s="31" t="n">
        <v>110</v>
      </c>
      <c r="F45" s="30" t="inlineStr">
        <is>
          <t>Débito Automático</t>
        </is>
      </c>
      <c r="G45" s="30">
        <f>IF(A45="","",MONTH(A45))</f>
        <v/>
      </c>
    </row>
    <row r="46">
      <c r="A46" s="29" t="n">
        <v>46103</v>
      </c>
      <c r="B46" s="30" t="inlineStr">
        <is>
          <t>Despesa</t>
        </is>
      </c>
      <c r="C46" s="30" t="inlineStr">
        <is>
          <t>Assinaturas e Serviços</t>
        </is>
      </c>
      <c r="D46" s="30" t="inlineStr">
        <is>
          <t>Streamings</t>
        </is>
      </c>
      <c r="E46" s="31" t="n">
        <v>65</v>
      </c>
      <c r="F46" s="30" t="inlineStr">
        <is>
          <t>Cartão de Crédito</t>
        </is>
      </c>
      <c r="G46" s="30">
        <f>IF(A46="","",MONTH(A46))</f>
        <v/>
      </c>
    </row>
    <row r="47">
      <c r="A47" s="29" t="n">
        <v>46106</v>
      </c>
      <c r="B47" s="30" t="inlineStr">
        <is>
          <t>Receita</t>
        </is>
      </c>
      <c r="C47" s="30" t="inlineStr">
        <is>
          <t>Dividendos e Proventos</t>
        </is>
      </c>
      <c r="D47" s="30" t="inlineStr">
        <is>
          <t>Dividendos da carteira</t>
        </is>
      </c>
      <c r="E47" s="31" t="n">
        <v>118</v>
      </c>
      <c r="F47" s="30" t="inlineStr">
        <is>
          <t>Transferência</t>
        </is>
      </c>
      <c r="G47" s="30">
        <f>IF(A47="","",MONTH(A47))</f>
        <v/>
      </c>
    </row>
    <row r="48">
      <c r="A48" s="29" t="n">
        <v>46108</v>
      </c>
      <c r="B48" s="30" t="inlineStr">
        <is>
          <t>Despesa</t>
        </is>
      </c>
      <c r="C48" s="30" t="inlineStr">
        <is>
          <t>Alimentação</t>
        </is>
      </c>
      <c r="D48" s="30" t="inlineStr">
        <is>
          <t>Feira e padaria</t>
        </is>
      </c>
      <c r="E48" s="31" t="n">
        <v>190</v>
      </c>
      <c r="F48" s="30" t="inlineStr">
        <is>
          <t>Pix</t>
        </is>
      </c>
      <c r="G48" s="30">
        <f>IF(A48="","",MONTH(A48))</f>
        <v/>
      </c>
    </row>
    <row r="49">
      <c r="A49" s="29" t="n">
        <v>46111</v>
      </c>
      <c r="B49" s="30" t="inlineStr">
        <is>
          <t>Despesa</t>
        </is>
      </c>
      <c r="C49" s="30" t="inlineStr">
        <is>
          <t>Saúde</t>
        </is>
      </c>
      <c r="D49" s="30" t="inlineStr">
        <is>
          <t>Consulta médica + farmácia</t>
        </is>
      </c>
      <c r="E49" s="31" t="n">
        <v>280</v>
      </c>
      <c r="F49" s="30" t="inlineStr">
        <is>
          <t>Pix</t>
        </is>
      </c>
      <c r="G49" s="30">
        <f>IF(A49="","",MONTH(A49))</f>
        <v/>
      </c>
    </row>
    <row r="50">
      <c r="A50" s="29" t="n">
        <v>46117</v>
      </c>
      <c r="B50" s="30" t="inlineStr">
        <is>
          <t>Receita</t>
        </is>
      </c>
      <c r="C50" s="30" t="inlineStr">
        <is>
          <t>Salário</t>
        </is>
      </c>
      <c r="D50" s="30" t="inlineStr">
        <is>
          <t>Salário mensal</t>
        </is>
      </c>
      <c r="E50" s="31" t="n">
        <v>8500</v>
      </c>
      <c r="F50" s="30" t="inlineStr">
        <is>
          <t>Transferência</t>
        </is>
      </c>
      <c r="G50" s="30">
        <f>IF(A50="","",MONTH(A50))</f>
        <v/>
      </c>
    </row>
    <row r="51">
      <c r="A51" s="29" t="n">
        <v>46117</v>
      </c>
      <c r="B51" s="30" t="inlineStr">
        <is>
          <t>Despesa</t>
        </is>
      </c>
      <c r="C51" s="30" t="inlineStr">
        <is>
          <t>Moradia</t>
        </is>
      </c>
      <c r="D51" s="30" t="inlineStr">
        <is>
          <t>Aluguel + condomínio</t>
        </is>
      </c>
      <c r="E51" s="31" t="n">
        <v>1800</v>
      </c>
      <c r="F51" s="30" t="inlineStr">
        <is>
          <t>Boleto</t>
        </is>
      </c>
      <c r="G51" s="30">
        <f>IF(A51="","",MONTH(A51))</f>
        <v/>
      </c>
    </row>
    <row r="52">
      <c r="A52" s="29" t="n">
        <v>46119</v>
      </c>
      <c r="B52" s="30" t="inlineStr">
        <is>
          <t>Despesa</t>
        </is>
      </c>
      <c r="C52" s="30" t="inlineStr">
        <is>
          <t>Assinaturas e Serviços</t>
        </is>
      </c>
      <c r="D52" s="30" t="inlineStr">
        <is>
          <t>Internet fibra</t>
        </is>
      </c>
      <c r="E52" s="31" t="n">
        <v>120</v>
      </c>
      <c r="F52" s="30" t="inlineStr">
        <is>
          <t>Débito Automático</t>
        </is>
      </c>
      <c r="G52" s="30">
        <f>IF(A52="","",MONTH(A52))</f>
        <v/>
      </c>
    </row>
    <row r="53">
      <c r="A53" s="29" t="n">
        <v>46120</v>
      </c>
      <c r="B53" s="30" t="inlineStr">
        <is>
          <t>Despesa</t>
        </is>
      </c>
      <c r="C53" s="30" t="inlineStr">
        <is>
          <t>Moradia</t>
        </is>
      </c>
      <c r="D53" s="30" t="inlineStr">
        <is>
          <t>Energia elétrica</t>
        </is>
      </c>
      <c r="E53" s="31" t="n">
        <v>176</v>
      </c>
      <c r="F53" s="30" t="inlineStr">
        <is>
          <t>Boleto</t>
        </is>
      </c>
      <c r="G53" s="30">
        <f>IF(A53="","",MONTH(A53))</f>
        <v/>
      </c>
    </row>
    <row r="54">
      <c r="A54" s="29" t="n">
        <v>46122</v>
      </c>
      <c r="B54" s="30" t="inlineStr">
        <is>
          <t>Despesa</t>
        </is>
      </c>
      <c r="C54" s="30" t="inlineStr">
        <is>
          <t>Saúde</t>
        </is>
      </c>
      <c r="D54" s="30" t="inlineStr">
        <is>
          <t>Plano de saúde</t>
        </is>
      </c>
      <c r="E54" s="31" t="n">
        <v>450</v>
      </c>
      <c r="F54" s="30" t="inlineStr">
        <is>
          <t>Débito Automático</t>
        </is>
      </c>
      <c r="G54" s="30">
        <f>IF(A54="","",MONTH(A54))</f>
        <v/>
      </c>
    </row>
    <row r="55">
      <c r="A55" s="29" t="n">
        <v>46122</v>
      </c>
      <c r="B55" s="30" t="inlineStr">
        <is>
          <t>Despesa</t>
        </is>
      </c>
      <c r="C55" s="30" t="inlineStr">
        <is>
          <t>Alimentação</t>
        </is>
      </c>
      <c r="D55" s="30" t="inlineStr">
        <is>
          <t>Supermercado do mês</t>
        </is>
      </c>
      <c r="E55" s="31" t="n">
        <v>955</v>
      </c>
      <c r="F55" s="30" t="inlineStr">
        <is>
          <t>Cartão de Crédito</t>
        </is>
      </c>
      <c r="G55" s="30">
        <f>IF(A55="","",MONTH(A55))</f>
        <v/>
      </c>
    </row>
    <row r="56">
      <c r="A56" s="29" t="n">
        <v>46124</v>
      </c>
      <c r="B56" s="30" t="inlineStr">
        <is>
          <t>Despesa</t>
        </is>
      </c>
      <c r="C56" s="30" t="inlineStr">
        <is>
          <t>Transporte</t>
        </is>
      </c>
      <c r="D56" s="30" t="inlineStr">
        <is>
          <t>Combustível</t>
        </is>
      </c>
      <c r="E56" s="31" t="n">
        <v>335</v>
      </c>
      <c r="F56" s="30" t="inlineStr">
        <is>
          <t>Cartão de Crédito</t>
        </is>
      </c>
      <c r="G56" s="30">
        <f>IF(A56="","",MONTH(A56))</f>
        <v/>
      </c>
    </row>
    <row r="57">
      <c r="A57" s="29" t="n">
        <v>46124</v>
      </c>
      <c r="B57" s="30" t="inlineStr">
        <is>
          <t>Despesa</t>
        </is>
      </c>
      <c r="C57" s="30" t="inlineStr">
        <is>
          <t>Lazer</t>
        </is>
      </c>
      <c r="D57" s="30" t="inlineStr">
        <is>
          <t>Viagem de feriado</t>
        </is>
      </c>
      <c r="E57" s="31" t="n">
        <v>850</v>
      </c>
      <c r="F57" s="30" t="inlineStr">
        <is>
          <t>Cartão de Crédito</t>
        </is>
      </c>
      <c r="G57" s="30">
        <f>IF(A57="","",MONTH(A57))</f>
        <v/>
      </c>
    </row>
    <row r="58">
      <c r="A58" s="29" t="n">
        <v>46127</v>
      </c>
      <c r="B58" s="30" t="inlineStr">
        <is>
          <t>Investimento</t>
        </is>
      </c>
      <c r="C58" s="30" t="inlineStr">
        <is>
          <t>Aporte Investimentos</t>
        </is>
      </c>
      <c r="D58" s="30" t="inlineStr">
        <is>
          <t>Aporte na corretora</t>
        </is>
      </c>
      <c r="E58" s="31" t="n">
        <v>1500</v>
      </c>
      <c r="F58" s="30" t="inlineStr">
        <is>
          <t>Pix</t>
        </is>
      </c>
      <c r="G58" s="30">
        <f>IF(A58="","",MONTH(A58))</f>
        <v/>
      </c>
    </row>
    <row r="59">
      <c r="A59" s="29" t="n">
        <v>46130</v>
      </c>
      <c r="B59" s="30" t="inlineStr">
        <is>
          <t>Despesa</t>
        </is>
      </c>
      <c r="C59" s="30" t="inlineStr">
        <is>
          <t>Lazer</t>
        </is>
      </c>
      <c r="D59" s="30" t="inlineStr">
        <is>
          <t>Restaurantes e delivery</t>
        </is>
      </c>
      <c r="E59" s="31" t="n">
        <v>245</v>
      </c>
      <c r="F59" s="30" t="inlineStr">
        <is>
          <t>Cartão de Crédito</t>
        </is>
      </c>
      <c r="G59" s="30">
        <f>IF(A59="","",MONTH(A59))</f>
        <v/>
      </c>
    </row>
    <row r="60">
      <c r="A60" s="29" t="n">
        <v>46132</v>
      </c>
      <c r="B60" s="30" t="inlineStr">
        <is>
          <t>Despesa</t>
        </is>
      </c>
      <c r="C60" s="30" t="inlineStr">
        <is>
          <t>Saúde</t>
        </is>
      </c>
      <c r="D60" s="30" t="inlineStr">
        <is>
          <t>Academia</t>
        </is>
      </c>
      <c r="E60" s="31" t="n">
        <v>110</v>
      </c>
      <c r="F60" s="30" t="inlineStr">
        <is>
          <t>Débito Automático</t>
        </is>
      </c>
      <c r="G60" s="30">
        <f>IF(A60="","",MONTH(A60))</f>
        <v/>
      </c>
    </row>
    <row r="61">
      <c r="A61" s="29" t="n">
        <v>46134</v>
      </c>
      <c r="B61" s="30" t="inlineStr">
        <is>
          <t>Despesa</t>
        </is>
      </c>
      <c r="C61" s="30" t="inlineStr">
        <is>
          <t>Assinaturas e Serviços</t>
        </is>
      </c>
      <c r="D61" s="30" t="inlineStr">
        <is>
          <t>Streamings</t>
        </is>
      </c>
      <c r="E61" s="31" t="n">
        <v>65</v>
      </c>
      <c r="F61" s="30" t="inlineStr">
        <is>
          <t>Cartão de Crédito</t>
        </is>
      </c>
      <c r="G61" s="30">
        <f>IF(A61="","",MONTH(A61))</f>
        <v/>
      </c>
    </row>
    <row r="62">
      <c r="A62" s="29" t="n">
        <v>46137</v>
      </c>
      <c r="B62" s="30" t="inlineStr">
        <is>
          <t>Receita</t>
        </is>
      </c>
      <c r="C62" s="30" t="inlineStr">
        <is>
          <t>Dividendos e Proventos</t>
        </is>
      </c>
      <c r="D62" s="30" t="inlineStr">
        <is>
          <t>Dividendos da carteira</t>
        </is>
      </c>
      <c r="E62" s="31" t="n">
        <v>162</v>
      </c>
      <c r="F62" s="30" t="inlineStr">
        <is>
          <t>Transferência</t>
        </is>
      </c>
      <c r="G62" s="30">
        <f>IF(A62="","",MONTH(A62))</f>
        <v/>
      </c>
    </row>
    <row r="63">
      <c r="A63" s="29" t="n">
        <v>46139</v>
      </c>
      <c r="B63" s="30" t="inlineStr">
        <is>
          <t>Despesa</t>
        </is>
      </c>
      <c r="C63" s="30" t="inlineStr">
        <is>
          <t>Alimentação</t>
        </is>
      </c>
      <c r="D63" s="30" t="inlineStr">
        <is>
          <t>Feira e padaria</t>
        </is>
      </c>
      <c r="E63" s="31" t="n">
        <v>172</v>
      </c>
      <c r="F63" s="30" t="inlineStr">
        <is>
          <t>Pix</t>
        </is>
      </c>
      <c r="G63" s="30">
        <f>IF(A63="","",MONTH(A63))</f>
        <v/>
      </c>
    </row>
    <row r="64">
      <c r="A64" s="29" t="n">
        <v>46147</v>
      </c>
      <c r="B64" s="30" t="inlineStr">
        <is>
          <t>Receita</t>
        </is>
      </c>
      <c r="C64" s="30" t="inlineStr">
        <is>
          <t>Salário</t>
        </is>
      </c>
      <c r="D64" s="30" t="inlineStr">
        <is>
          <t>Salário mensal</t>
        </is>
      </c>
      <c r="E64" s="31" t="n">
        <v>8500</v>
      </c>
      <c r="F64" s="30" t="inlineStr">
        <is>
          <t>Transferência</t>
        </is>
      </c>
      <c r="G64" s="30">
        <f>IF(A64="","",MONTH(A64))</f>
        <v/>
      </c>
    </row>
    <row r="65">
      <c r="A65" s="29" t="n">
        <v>46147</v>
      </c>
      <c r="B65" s="30" t="inlineStr">
        <is>
          <t>Despesa</t>
        </is>
      </c>
      <c r="C65" s="30" t="inlineStr">
        <is>
          <t>Moradia</t>
        </is>
      </c>
      <c r="D65" s="30" t="inlineStr">
        <is>
          <t>Aluguel + condomínio</t>
        </is>
      </c>
      <c r="E65" s="31" t="n">
        <v>1800</v>
      </c>
      <c r="F65" s="30" t="inlineStr">
        <is>
          <t>Boleto</t>
        </is>
      </c>
      <c r="G65" s="30">
        <f>IF(A65="","",MONTH(A65))</f>
        <v/>
      </c>
    </row>
    <row r="66">
      <c r="A66" s="29" t="n">
        <v>46147</v>
      </c>
      <c r="B66" s="30" t="inlineStr">
        <is>
          <t>Receita</t>
        </is>
      </c>
      <c r="C66" s="30" t="inlineStr">
        <is>
          <t>Freelance / Renda Extra</t>
        </is>
      </c>
      <c r="D66" s="30" t="inlineStr">
        <is>
          <t>Consultoria</t>
        </is>
      </c>
      <c r="E66" s="31" t="n">
        <v>900</v>
      </c>
      <c r="F66" s="30" t="inlineStr">
        <is>
          <t>Pix</t>
        </is>
      </c>
      <c r="G66" s="30">
        <f>IF(A66="","",MONTH(A66))</f>
        <v/>
      </c>
    </row>
    <row r="67">
      <c r="A67" s="29" t="n">
        <v>46149</v>
      </c>
      <c r="B67" s="30" t="inlineStr">
        <is>
          <t>Despesa</t>
        </is>
      </c>
      <c r="C67" s="30" t="inlineStr">
        <is>
          <t>Assinaturas e Serviços</t>
        </is>
      </c>
      <c r="D67" s="30" t="inlineStr">
        <is>
          <t>Internet fibra</t>
        </is>
      </c>
      <c r="E67" s="31" t="n">
        <v>120</v>
      </c>
      <c r="F67" s="30" t="inlineStr">
        <is>
          <t>Débito Automático</t>
        </is>
      </c>
      <c r="G67" s="30">
        <f>IF(A67="","",MONTH(A67))</f>
        <v/>
      </c>
    </row>
    <row r="68">
      <c r="A68" s="29" t="n">
        <v>46150</v>
      </c>
      <c r="B68" s="30" t="inlineStr">
        <is>
          <t>Despesa</t>
        </is>
      </c>
      <c r="C68" s="30" t="inlineStr">
        <is>
          <t>Moradia</t>
        </is>
      </c>
      <c r="D68" s="30" t="inlineStr">
        <is>
          <t>Energia elétrica</t>
        </is>
      </c>
      <c r="E68" s="31" t="n">
        <v>182</v>
      </c>
      <c r="F68" s="30" t="inlineStr">
        <is>
          <t>Boleto</t>
        </is>
      </c>
      <c r="G68" s="30">
        <f>IF(A68="","",MONTH(A68))</f>
        <v/>
      </c>
    </row>
    <row r="69">
      <c r="A69" s="29" t="n">
        <v>46152</v>
      </c>
      <c r="B69" s="30" t="inlineStr">
        <is>
          <t>Despesa</t>
        </is>
      </c>
      <c r="C69" s="30" t="inlineStr">
        <is>
          <t>Saúde</t>
        </is>
      </c>
      <c r="D69" s="30" t="inlineStr">
        <is>
          <t>Plano de saúde</t>
        </is>
      </c>
      <c r="E69" s="31" t="n">
        <v>450</v>
      </c>
      <c r="F69" s="30" t="inlineStr">
        <is>
          <t>Débito Automático</t>
        </is>
      </c>
      <c r="G69" s="30">
        <f>IF(A69="","",MONTH(A69))</f>
        <v/>
      </c>
    </row>
    <row r="70">
      <c r="A70" s="29" t="n">
        <v>46152</v>
      </c>
      <c r="B70" s="30" t="inlineStr">
        <is>
          <t>Despesa</t>
        </is>
      </c>
      <c r="C70" s="30" t="inlineStr">
        <is>
          <t>Alimentação</t>
        </is>
      </c>
      <c r="D70" s="30" t="inlineStr">
        <is>
          <t>Supermercado do mês</t>
        </is>
      </c>
      <c r="E70" s="31" t="n">
        <v>1100</v>
      </c>
      <c r="F70" s="30" t="inlineStr">
        <is>
          <t>Cartão de Crédito</t>
        </is>
      </c>
      <c r="G70" s="30">
        <f>IF(A70="","",MONTH(A70))</f>
        <v/>
      </c>
    </row>
    <row r="71">
      <c r="A71" s="29" t="n">
        <v>46154</v>
      </c>
      <c r="B71" s="30" t="inlineStr">
        <is>
          <t>Despesa</t>
        </is>
      </c>
      <c r="C71" s="30" t="inlineStr">
        <is>
          <t>Transporte</t>
        </is>
      </c>
      <c r="D71" s="30" t="inlineStr">
        <is>
          <t>Combustível</t>
        </is>
      </c>
      <c r="E71" s="31" t="n">
        <v>355</v>
      </c>
      <c r="F71" s="30" t="inlineStr">
        <is>
          <t>Cartão de Crédito</t>
        </is>
      </c>
      <c r="G71" s="30">
        <f>IF(A71="","",MONTH(A71))</f>
        <v/>
      </c>
    </row>
    <row r="72">
      <c r="A72" s="29" t="n">
        <v>46157</v>
      </c>
      <c r="B72" s="30" t="inlineStr">
        <is>
          <t>Investimento</t>
        </is>
      </c>
      <c r="C72" s="30" t="inlineStr">
        <is>
          <t>Aporte Investimentos</t>
        </is>
      </c>
      <c r="D72" s="30" t="inlineStr">
        <is>
          <t>Aporte na corretora</t>
        </is>
      </c>
      <c r="E72" s="31" t="n">
        <v>1500</v>
      </c>
      <c r="F72" s="30" t="inlineStr">
        <is>
          <t>Pix</t>
        </is>
      </c>
      <c r="G72" s="30">
        <f>IF(A72="","",MONTH(A72))</f>
        <v/>
      </c>
    </row>
    <row r="73">
      <c r="A73" s="29" t="n">
        <v>46160</v>
      </c>
      <c r="B73" s="30" t="inlineStr">
        <is>
          <t>Despesa</t>
        </is>
      </c>
      <c r="C73" s="30" t="inlineStr">
        <is>
          <t>Lazer</t>
        </is>
      </c>
      <c r="D73" s="30" t="inlineStr">
        <is>
          <t>Restaurantes e delivery</t>
        </is>
      </c>
      <c r="E73" s="31" t="n">
        <v>270</v>
      </c>
      <c r="F73" s="30" t="inlineStr">
        <is>
          <t>Cartão de Crédito</t>
        </is>
      </c>
      <c r="G73" s="30">
        <f>IF(A73="","",MONTH(A73))</f>
        <v/>
      </c>
    </row>
    <row r="74">
      <c r="A74" s="29" t="n">
        <v>46160</v>
      </c>
      <c r="B74" s="30" t="inlineStr">
        <is>
          <t>Despesa</t>
        </is>
      </c>
      <c r="C74" s="30" t="inlineStr">
        <is>
          <t>Pets</t>
        </is>
      </c>
      <c r="D74" s="30" t="inlineStr">
        <is>
          <t>Veterinário + ração</t>
        </is>
      </c>
      <c r="E74" s="31" t="n">
        <v>230</v>
      </c>
      <c r="F74" s="30" t="inlineStr">
        <is>
          <t>Cartão de Crédito</t>
        </is>
      </c>
      <c r="G74" s="30">
        <f>IF(A74="","",MONTH(A74))</f>
        <v/>
      </c>
    </row>
    <row r="75">
      <c r="A75" s="29" t="n">
        <v>46162</v>
      </c>
      <c r="B75" s="30" t="inlineStr">
        <is>
          <t>Despesa</t>
        </is>
      </c>
      <c r="C75" s="30" t="inlineStr">
        <is>
          <t>Saúde</t>
        </is>
      </c>
      <c r="D75" s="30" t="inlineStr">
        <is>
          <t>Academia</t>
        </is>
      </c>
      <c r="E75" s="31" t="n">
        <v>110</v>
      </c>
      <c r="F75" s="30" t="inlineStr">
        <is>
          <t>Débito Automático</t>
        </is>
      </c>
      <c r="G75" s="30">
        <f>IF(A75="","",MONTH(A75))</f>
        <v/>
      </c>
    </row>
    <row r="76">
      <c r="A76" s="29" t="n">
        <v>46164</v>
      </c>
      <c r="B76" s="30" t="inlineStr">
        <is>
          <t>Despesa</t>
        </is>
      </c>
      <c r="C76" s="30" t="inlineStr">
        <is>
          <t>Assinaturas e Serviços</t>
        </is>
      </c>
      <c r="D76" s="30" t="inlineStr">
        <is>
          <t>Streamings</t>
        </is>
      </c>
      <c r="E76" s="31" t="n">
        <v>65</v>
      </c>
      <c r="F76" s="30" t="inlineStr">
        <is>
          <t>Cartão de Crédito</t>
        </is>
      </c>
      <c r="G76" s="30">
        <f>IF(A76="","",MONTH(A76))</f>
        <v/>
      </c>
    </row>
    <row r="77">
      <c r="A77" s="29" t="n">
        <v>46167</v>
      </c>
      <c r="B77" s="30" t="inlineStr">
        <is>
          <t>Receita</t>
        </is>
      </c>
      <c r="C77" s="30" t="inlineStr">
        <is>
          <t>Dividendos e Proventos</t>
        </is>
      </c>
      <c r="D77" s="30" t="inlineStr">
        <is>
          <t>Dividendos da carteira</t>
        </is>
      </c>
      <c r="E77" s="31" t="n">
        <v>155</v>
      </c>
      <c r="F77" s="30" t="inlineStr">
        <is>
          <t>Transferência</t>
        </is>
      </c>
      <c r="G77" s="30">
        <f>IF(A77="","",MONTH(A77))</f>
        <v/>
      </c>
    </row>
    <row r="78">
      <c r="A78" s="29" t="n">
        <v>46169</v>
      </c>
      <c r="B78" s="30" t="inlineStr">
        <is>
          <t>Despesa</t>
        </is>
      </c>
      <c r="C78" s="30" t="inlineStr">
        <is>
          <t>Alimentação</t>
        </is>
      </c>
      <c r="D78" s="30" t="inlineStr">
        <is>
          <t>Feira e padaria</t>
        </is>
      </c>
      <c r="E78" s="31" t="n">
        <v>185</v>
      </c>
      <c r="F78" s="30" t="inlineStr">
        <is>
          <t>Pix</t>
        </is>
      </c>
      <c r="G78" s="30">
        <f>IF(A78="","",MONTH(A78))</f>
        <v/>
      </c>
    </row>
    <row r="79">
      <c r="A79" s="29" t="n">
        <v>46178</v>
      </c>
      <c r="B79" s="30" t="inlineStr">
        <is>
          <t>Receita</t>
        </is>
      </c>
      <c r="C79" s="30" t="inlineStr">
        <is>
          <t>Salário</t>
        </is>
      </c>
      <c r="D79" s="30" t="inlineStr">
        <is>
          <t>Salário mensal</t>
        </is>
      </c>
      <c r="E79" s="31" t="n">
        <v>8500</v>
      </c>
      <c r="F79" s="30" t="inlineStr">
        <is>
          <t>Transferência</t>
        </is>
      </c>
      <c r="G79" s="30">
        <f>IF(A79="","",MONTH(A79))</f>
        <v/>
      </c>
    </row>
    <row r="80">
      <c r="A80" s="29" t="n">
        <v>46178</v>
      </c>
      <c r="B80" s="30" t="inlineStr">
        <is>
          <t>Despesa</t>
        </is>
      </c>
      <c r="C80" s="30" t="inlineStr">
        <is>
          <t>Moradia</t>
        </is>
      </c>
      <c r="D80" s="30" t="inlineStr">
        <is>
          <t>Aluguel + condomínio</t>
        </is>
      </c>
      <c r="E80" s="31" t="n">
        <v>1800</v>
      </c>
      <c r="F80" s="30" t="inlineStr">
        <is>
          <t>Boleto</t>
        </is>
      </c>
      <c r="G80" s="30">
        <f>IF(A80="","",MONTH(A80))</f>
        <v/>
      </c>
    </row>
    <row r="81">
      <c r="A81" s="29" t="n">
        <v>46180</v>
      </c>
      <c r="B81" s="30" t="inlineStr">
        <is>
          <t>Despesa</t>
        </is>
      </c>
      <c r="C81" s="30" t="inlineStr">
        <is>
          <t>Assinaturas e Serviços</t>
        </is>
      </c>
      <c r="D81" s="30" t="inlineStr">
        <is>
          <t>Internet fibra</t>
        </is>
      </c>
      <c r="E81" s="31" t="n">
        <v>120</v>
      </c>
      <c r="F81" s="30" t="inlineStr">
        <is>
          <t>Débito Automático</t>
        </is>
      </c>
      <c r="G81" s="30">
        <f>IF(A81="","",MONTH(A81))</f>
        <v/>
      </c>
    </row>
    <row r="82">
      <c r="A82" s="29" t="n">
        <v>46181</v>
      </c>
      <c r="B82" s="30" t="inlineStr">
        <is>
          <t>Despesa</t>
        </is>
      </c>
      <c r="C82" s="30" t="inlineStr">
        <is>
          <t>Moradia</t>
        </is>
      </c>
      <c r="D82" s="30" t="inlineStr">
        <is>
          <t>Energia elétrica</t>
        </is>
      </c>
      <c r="E82" s="31" t="n">
        <v>205</v>
      </c>
      <c r="F82" s="30" t="inlineStr">
        <is>
          <t>Boleto</t>
        </is>
      </c>
      <c r="G82" s="30">
        <f>IF(A82="","",MONTH(A82))</f>
        <v/>
      </c>
    </row>
    <row r="83">
      <c r="A83" s="29" t="n">
        <v>46183</v>
      </c>
      <c r="B83" s="30" t="inlineStr">
        <is>
          <t>Despesa</t>
        </is>
      </c>
      <c r="C83" s="30" t="inlineStr">
        <is>
          <t>Saúde</t>
        </is>
      </c>
      <c r="D83" s="30" t="inlineStr">
        <is>
          <t>Plano de saúde</t>
        </is>
      </c>
      <c r="E83" s="31" t="n">
        <v>450</v>
      </c>
      <c r="F83" s="30" t="inlineStr">
        <is>
          <t>Débito Automático</t>
        </is>
      </c>
      <c r="G83" s="30">
        <f>IF(A83="","",MONTH(A83))</f>
        <v/>
      </c>
    </row>
    <row r="84">
      <c r="A84" s="29" t="n">
        <v>46183</v>
      </c>
      <c r="B84" s="30" t="inlineStr">
        <is>
          <t>Despesa</t>
        </is>
      </c>
      <c r="C84" s="30" t="inlineStr">
        <is>
          <t>Alimentação</t>
        </is>
      </c>
      <c r="D84" s="30" t="inlineStr">
        <is>
          <t>Supermercado do mês</t>
        </is>
      </c>
      <c r="E84" s="31" t="n">
        <v>1025</v>
      </c>
      <c r="F84" s="30" t="inlineStr">
        <is>
          <t>Cartão de Crédito</t>
        </is>
      </c>
      <c r="G84" s="30">
        <f>IF(A84="","",MONTH(A84))</f>
        <v/>
      </c>
    </row>
    <row r="85">
      <c r="A85" s="29" t="n">
        <v>46183</v>
      </c>
      <c r="B85" s="30" t="inlineStr">
        <is>
          <t>Despesa</t>
        </is>
      </c>
      <c r="C85" s="30" t="inlineStr">
        <is>
          <t>Moradia</t>
        </is>
      </c>
      <c r="D85" s="30" t="inlineStr">
        <is>
          <t>Manutenção do apartamento</t>
        </is>
      </c>
      <c r="E85" s="31" t="n">
        <v>350</v>
      </c>
      <c r="F85" s="30" t="inlineStr">
        <is>
          <t>Pix</t>
        </is>
      </c>
      <c r="G85" s="30">
        <f>IF(A85="","",MONTH(A85))</f>
        <v/>
      </c>
    </row>
    <row r="86">
      <c r="A86" s="29" t="n">
        <v>46185</v>
      </c>
      <c r="B86" s="30" t="inlineStr">
        <is>
          <t>Despesa</t>
        </is>
      </c>
      <c r="C86" s="30" t="inlineStr">
        <is>
          <t>Transporte</t>
        </is>
      </c>
      <c r="D86" s="30" t="inlineStr">
        <is>
          <t>Combustível</t>
        </is>
      </c>
      <c r="E86" s="31" t="n">
        <v>348</v>
      </c>
      <c r="F86" s="30" t="inlineStr">
        <is>
          <t>Cartão de Crédito</t>
        </is>
      </c>
      <c r="G86" s="30">
        <f>IF(A86="","",MONTH(A86))</f>
        <v/>
      </c>
    </row>
    <row r="87">
      <c r="A87" s="29" t="n">
        <v>46188</v>
      </c>
      <c r="B87" s="30" t="inlineStr">
        <is>
          <t>Investimento</t>
        </is>
      </c>
      <c r="C87" s="30" t="inlineStr">
        <is>
          <t>Aporte Investimentos</t>
        </is>
      </c>
      <c r="D87" s="30" t="inlineStr">
        <is>
          <t>Aporte na corretora</t>
        </is>
      </c>
      <c r="E87" s="31" t="n">
        <v>1500</v>
      </c>
      <c r="F87" s="30" t="inlineStr">
        <is>
          <t>Pix</t>
        </is>
      </c>
      <c r="G87" s="30">
        <f>IF(A87="","",MONTH(A87))</f>
        <v/>
      </c>
    </row>
    <row r="88">
      <c r="A88" s="29" t="n">
        <v>46191</v>
      </c>
      <c r="B88" s="30" t="inlineStr">
        <is>
          <t>Despesa</t>
        </is>
      </c>
      <c r="C88" s="30" t="inlineStr">
        <is>
          <t>Lazer</t>
        </is>
      </c>
      <c r="D88" s="30" t="inlineStr">
        <is>
          <t>Restaurantes e delivery</t>
        </is>
      </c>
      <c r="E88" s="31" t="n">
        <v>255</v>
      </c>
      <c r="F88" s="30" t="inlineStr">
        <is>
          <t>Cartão de Crédito</t>
        </is>
      </c>
      <c r="G88" s="30">
        <f>IF(A88="","",MONTH(A88))</f>
        <v/>
      </c>
    </row>
    <row r="89">
      <c r="A89" s="29" t="n">
        <v>46193</v>
      </c>
      <c r="B89" s="30" t="inlineStr">
        <is>
          <t>Despesa</t>
        </is>
      </c>
      <c r="C89" s="30" t="inlineStr">
        <is>
          <t>Saúde</t>
        </is>
      </c>
      <c r="D89" s="30" t="inlineStr">
        <is>
          <t>Academia</t>
        </is>
      </c>
      <c r="E89" s="31" t="n">
        <v>110</v>
      </c>
      <c r="F89" s="30" t="inlineStr">
        <is>
          <t>Débito Automático</t>
        </is>
      </c>
      <c r="G89" s="30">
        <f>IF(A89="","",MONTH(A89))</f>
        <v/>
      </c>
    </row>
    <row r="90">
      <c r="A90" s="29" t="n">
        <v>46195</v>
      </c>
      <c r="B90" s="30" t="inlineStr">
        <is>
          <t>Despesa</t>
        </is>
      </c>
      <c r="C90" s="30" t="inlineStr">
        <is>
          <t>Assinaturas e Serviços</t>
        </is>
      </c>
      <c r="D90" s="30" t="inlineStr">
        <is>
          <t>Streamings</t>
        </is>
      </c>
      <c r="E90" s="31" t="n">
        <v>65</v>
      </c>
      <c r="F90" s="30" t="inlineStr">
        <is>
          <t>Cartão de Crédito</t>
        </is>
      </c>
      <c r="G90" s="30">
        <f>IF(A90="","",MONTH(A90))</f>
        <v/>
      </c>
    </row>
    <row r="91">
      <c r="A91" s="29" t="n">
        <v>46198</v>
      </c>
      <c r="B91" s="30" t="inlineStr">
        <is>
          <t>Receita</t>
        </is>
      </c>
      <c r="C91" s="30" t="inlineStr">
        <is>
          <t>Dividendos e Proventos</t>
        </is>
      </c>
      <c r="D91" s="30" t="inlineStr">
        <is>
          <t>Dividendos da carteira</t>
        </is>
      </c>
      <c r="E91" s="31" t="n">
        <v>170</v>
      </c>
      <c r="F91" s="30" t="inlineStr">
        <is>
          <t>Transferência</t>
        </is>
      </c>
      <c r="G91" s="30">
        <f>IF(A91="","",MONTH(A91))</f>
        <v/>
      </c>
    </row>
    <row r="92">
      <c r="A92" s="29" t="n">
        <v>46200</v>
      </c>
      <c r="B92" s="30" t="inlineStr">
        <is>
          <t>Despesa</t>
        </is>
      </c>
      <c r="C92" s="30" t="inlineStr">
        <is>
          <t>Alimentação</t>
        </is>
      </c>
      <c r="D92" s="30" t="inlineStr">
        <is>
          <t>Feira e padaria</t>
        </is>
      </c>
      <c r="E92" s="31" t="n">
        <v>178</v>
      </c>
      <c r="F92" s="30" t="inlineStr">
        <is>
          <t>Pix</t>
        </is>
      </c>
      <c r="G92" s="30">
        <f>IF(A92="","",MONTH(A92))</f>
        <v/>
      </c>
    </row>
    <row r="93">
      <c r="A93" s="29" t="n"/>
      <c r="B93" s="30" t="n"/>
      <c r="C93" s="30" t="n"/>
      <c r="D93" s="30" t="n"/>
      <c r="E93" s="31" t="n"/>
      <c r="F93" s="30" t="n"/>
      <c r="G93" s="30">
        <f>IF(A93="","",MONTH(A93))</f>
        <v/>
      </c>
    </row>
    <row r="94">
      <c r="A94" s="29" t="n"/>
      <c r="B94" s="30" t="n"/>
      <c r="C94" s="30" t="n"/>
      <c r="D94" s="30" t="n"/>
      <c r="E94" s="31" t="n"/>
      <c r="F94" s="30" t="n"/>
      <c r="G94" s="30">
        <f>IF(A94="","",MONTH(A94))</f>
        <v/>
      </c>
    </row>
    <row r="95">
      <c r="A95" s="29" t="n"/>
      <c r="B95" s="30" t="n"/>
      <c r="C95" s="30" t="n"/>
      <c r="D95" s="30" t="n"/>
      <c r="E95" s="31" t="n"/>
      <c r="F95" s="30" t="n"/>
      <c r="G95" s="30">
        <f>IF(A95="","",MONTH(A95))</f>
        <v/>
      </c>
    </row>
    <row r="96">
      <c r="A96" s="29" t="n"/>
      <c r="B96" s="30" t="n"/>
      <c r="C96" s="30" t="n"/>
      <c r="D96" s="30" t="n"/>
      <c r="E96" s="31" t="n"/>
      <c r="F96" s="30" t="n"/>
      <c r="G96" s="30">
        <f>IF(A96="","",MONTH(A96))</f>
        <v/>
      </c>
    </row>
    <row r="97">
      <c r="A97" s="29" t="n"/>
      <c r="B97" s="30" t="n"/>
      <c r="C97" s="30" t="n"/>
      <c r="D97" s="30" t="n"/>
      <c r="E97" s="31" t="n"/>
      <c r="F97" s="30" t="n"/>
      <c r="G97" s="30">
        <f>IF(A97="","",MONTH(A97))</f>
        <v/>
      </c>
    </row>
    <row r="98">
      <c r="A98" s="29" t="n"/>
      <c r="B98" s="30" t="n"/>
      <c r="C98" s="30" t="n"/>
      <c r="D98" s="30" t="n"/>
      <c r="E98" s="31" t="n"/>
      <c r="F98" s="30" t="n"/>
      <c r="G98" s="30">
        <f>IF(A98="","",MONTH(A98))</f>
        <v/>
      </c>
    </row>
    <row r="99">
      <c r="A99" s="29" t="n"/>
      <c r="B99" s="30" t="n"/>
      <c r="C99" s="30" t="n"/>
      <c r="D99" s="30" t="n"/>
      <c r="E99" s="31" t="n"/>
      <c r="F99" s="30" t="n"/>
      <c r="G99" s="30">
        <f>IF(A99="","",MONTH(A99))</f>
        <v/>
      </c>
    </row>
    <row r="100">
      <c r="A100" s="29" t="n"/>
      <c r="B100" s="30" t="n"/>
      <c r="C100" s="30" t="n"/>
      <c r="D100" s="30" t="n"/>
      <c r="E100" s="31" t="n"/>
      <c r="F100" s="30" t="n"/>
      <c r="G100" s="30">
        <f>IF(A100="","",MONTH(A100))</f>
        <v/>
      </c>
    </row>
    <row r="101">
      <c r="A101" s="29" t="n"/>
      <c r="B101" s="30" t="n"/>
      <c r="C101" s="30" t="n"/>
      <c r="D101" s="30" t="n"/>
      <c r="E101" s="31" t="n"/>
      <c r="F101" s="30" t="n"/>
      <c r="G101" s="30">
        <f>IF(A101="","",MONTH(A101))</f>
        <v/>
      </c>
    </row>
    <row r="102">
      <c r="A102" s="29" t="n"/>
      <c r="B102" s="30" t="n"/>
      <c r="C102" s="30" t="n"/>
      <c r="D102" s="30" t="n"/>
      <c r="E102" s="31" t="n"/>
      <c r="F102" s="30" t="n"/>
      <c r="G102" s="30">
        <f>IF(A102="","",MONTH(A102))</f>
        <v/>
      </c>
    </row>
    <row r="103">
      <c r="A103" s="29" t="n"/>
      <c r="B103" s="30" t="n"/>
      <c r="C103" s="30" t="n"/>
      <c r="D103" s="30" t="n"/>
      <c r="E103" s="31" t="n"/>
      <c r="F103" s="30" t="n"/>
      <c r="G103" s="30">
        <f>IF(A103="","",MONTH(A103))</f>
        <v/>
      </c>
    </row>
    <row r="104">
      <c r="A104" s="29" t="n"/>
      <c r="B104" s="30" t="n"/>
      <c r="C104" s="30" t="n"/>
      <c r="D104" s="30" t="n"/>
      <c r="E104" s="31" t="n"/>
      <c r="F104" s="30" t="n"/>
      <c r="G104" s="30">
        <f>IF(A104="","",MONTH(A104))</f>
        <v/>
      </c>
    </row>
    <row r="105">
      <c r="A105" s="29" t="n"/>
      <c r="B105" s="30" t="n"/>
      <c r="C105" s="30" t="n"/>
      <c r="D105" s="30" t="n"/>
      <c r="E105" s="31" t="n"/>
      <c r="F105" s="30" t="n"/>
      <c r="G105" s="30">
        <f>IF(A105="","",MONTH(A105))</f>
        <v/>
      </c>
    </row>
    <row r="106">
      <c r="A106" s="29" t="n"/>
      <c r="B106" s="30" t="n"/>
      <c r="C106" s="30" t="n"/>
      <c r="D106" s="30" t="n"/>
      <c r="E106" s="31" t="n"/>
      <c r="F106" s="30" t="n"/>
      <c r="G106" s="30">
        <f>IF(A106="","",MONTH(A106))</f>
        <v/>
      </c>
    </row>
    <row r="107">
      <c r="A107" s="29" t="n"/>
      <c r="B107" s="30" t="n"/>
      <c r="C107" s="30" t="n"/>
      <c r="D107" s="30" t="n"/>
      <c r="E107" s="31" t="n"/>
      <c r="F107" s="30" t="n"/>
      <c r="G107" s="30">
        <f>IF(A107="","",MONTH(A107))</f>
        <v/>
      </c>
    </row>
    <row r="108">
      <c r="A108" s="29" t="n"/>
      <c r="B108" s="30" t="n"/>
      <c r="C108" s="30" t="n"/>
      <c r="D108" s="30" t="n"/>
      <c r="E108" s="31" t="n"/>
      <c r="F108" s="30" t="n"/>
      <c r="G108" s="30">
        <f>IF(A108="","",MONTH(A108))</f>
        <v/>
      </c>
    </row>
    <row r="109">
      <c r="A109" s="29" t="n"/>
      <c r="B109" s="30" t="n"/>
      <c r="C109" s="30" t="n"/>
      <c r="D109" s="30" t="n"/>
      <c r="E109" s="31" t="n"/>
      <c r="F109" s="30" t="n"/>
      <c r="G109" s="30">
        <f>IF(A109="","",MONTH(A109))</f>
        <v/>
      </c>
    </row>
    <row r="110">
      <c r="A110" s="29" t="n"/>
      <c r="B110" s="30" t="n"/>
      <c r="C110" s="30" t="n"/>
      <c r="D110" s="30" t="n"/>
      <c r="E110" s="31" t="n"/>
      <c r="F110" s="30" t="n"/>
      <c r="G110" s="30">
        <f>IF(A110="","",MONTH(A110))</f>
        <v/>
      </c>
    </row>
    <row r="111">
      <c r="A111" s="29" t="n"/>
      <c r="B111" s="30" t="n"/>
      <c r="C111" s="30" t="n"/>
      <c r="D111" s="30" t="n"/>
      <c r="E111" s="31" t="n"/>
      <c r="F111" s="30" t="n"/>
      <c r="G111" s="30">
        <f>IF(A111="","",MONTH(A111))</f>
        <v/>
      </c>
    </row>
    <row r="112">
      <c r="A112" s="29" t="n"/>
      <c r="B112" s="30" t="n"/>
      <c r="C112" s="30" t="n"/>
      <c r="D112" s="30" t="n"/>
      <c r="E112" s="31" t="n"/>
      <c r="F112" s="30" t="n"/>
      <c r="G112" s="30">
        <f>IF(A112="","",MONTH(A112))</f>
        <v/>
      </c>
    </row>
    <row r="113">
      <c r="A113" s="29" t="n"/>
      <c r="B113" s="30" t="n"/>
      <c r="C113" s="30" t="n"/>
      <c r="D113" s="30" t="n"/>
      <c r="E113" s="31" t="n"/>
      <c r="F113" s="30" t="n"/>
      <c r="G113" s="30">
        <f>IF(A113="","",MONTH(A113))</f>
        <v/>
      </c>
    </row>
    <row r="114">
      <c r="A114" s="29" t="n"/>
      <c r="B114" s="30" t="n"/>
      <c r="C114" s="30" t="n"/>
      <c r="D114" s="30" t="n"/>
      <c r="E114" s="31" t="n"/>
      <c r="F114" s="30" t="n"/>
      <c r="G114" s="30">
        <f>IF(A114="","",MONTH(A114))</f>
        <v/>
      </c>
    </row>
    <row r="115">
      <c r="A115" s="29" t="n"/>
      <c r="B115" s="30" t="n"/>
      <c r="C115" s="30" t="n"/>
      <c r="D115" s="30" t="n"/>
      <c r="E115" s="31" t="n"/>
      <c r="F115" s="30" t="n"/>
      <c r="G115" s="30">
        <f>IF(A115="","",MONTH(A115))</f>
        <v/>
      </c>
    </row>
    <row r="116">
      <c r="A116" s="29" t="n"/>
      <c r="B116" s="30" t="n"/>
      <c r="C116" s="30" t="n"/>
      <c r="D116" s="30" t="n"/>
      <c r="E116" s="31" t="n"/>
      <c r="F116" s="30" t="n"/>
      <c r="G116" s="30">
        <f>IF(A116="","",MONTH(A116))</f>
        <v/>
      </c>
    </row>
    <row r="117">
      <c r="A117" s="29" t="n"/>
      <c r="B117" s="30" t="n"/>
      <c r="C117" s="30" t="n"/>
      <c r="D117" s="30" t="n"/>
      <c r="E117" s="31" t="n"/>
      <c r="F117" s="30" t="n"/>
      <c r="G117" s="30">
        <f>IF(A117="","",MONTH(A117))</f>
        <v/>
      </c>
    </row>
    <row r="118">
      <c r="A118" s="29" t="n"/>
      <c r="B118" s="30" t="n"/>
      <c r="C118" s="30" t="n"/>
      <c r="D118" s="30" t="n"/>
      <c r="E118" s="31" t="n"/>
      <c r="F118" s="30" t="n"/>
      <c r="G118" s="30">
        <f>IF(A118="","",MONTH(A118))</f>
        <v/>
      </c>
    </row>
    <row r="119">
      <c r="A119" s="29" t="n"/>
      <c r="B119" s="30" t="n"/>
      <c r="C119" s="30" t="n"/>
      <c r="D119" s="30" t="n"/>
      <c r="E119" s="31" t="n"/>
      <c r="F119" s="30" t="n"/>
      <c r="G119" s="30">
        <f>IF(A119="","",MONTH(A119))</f>
        <v/>
      </c>
    </row>
    <row r="120">
      <c r="A120" s="29" t="n"/>
      <c r="B120" s="30" t="n"/>
      <c r="C120" s="30" t="n"/>
      <c r="D120" s="30" t="n"/>
      <c r="E120" s="31" t="n"/>
      <c r="F120" s="30" t="n"/>
      <c r="G120" s="30">
        <f>IF(A120="","",MONTH(A120))</f>
        <v/>
      </c>
    </row>
    <row r="121">
      <c r="A121" s="29" t="n"/>
      <c r="B121" s="30" t="n"/>
      <c r="C121" s="30" t="n"/>
      <c r="D121" s="30" t="n"/>
      <c r="E121" s="31" t="n"/>
      <c r="F121" s="30" t="n"/>
      <c r="G121" s="30">
        <f>IF(A121="","",MONTH(A121))</f>
        <v/>
      </c>
    </row>
    <row r="122">
      <c r="A122" s="29" t="n"/>
      <c r="B122" s="30" t="n"/>
      <c r="C122" s="30" t="n"/>
      <c r="D122" s="30" t="n"/>
      <c r="E122" s="31" t="n"/>
      <c r="F122" s="30" t="n"/>
      <c r="G122" s="30">
        <f>IF(A122="","",MONTH(A122))</f>
        <v/>
      </c>
    </row>
    <row r="123">
      <c r="A123" s="29" t="n"/>
      <c r="B123" s="30" t="n"/>
      <c r="C123" s="30" t="n"/>
      <c r="D123" s="30" t="n"/>
      <c r="E123" s="31" t="n"/>
      <c r="F123" s="30" t="n"/>
      <c r="G123" s="30">
        <f>IF(A123="","",MONTH(A123))</f>
        <v/>
      </c>
    </row>
    <row r="124">
      <c r="A124" s="29" t="n"/>
      <c r="B124" s="30" t="n"/>
      <c r="C124" s="30" t="n"/>
      <c r="D124" s="30" t="n"/>
      <c r="E124" s="31" t="n"/>
      <c r="F124" s="30" t="n"/>
      <c r="G124" s="30">
        <f>IF(A124="","",MONTH(A124))</f>
        <v/>
      </c>
    </row>
    <row r="125">
      <c r="A125" s="29" t="n"/>
      <c r="B125" s="30" t="n"/>
      <c r="C125" s="30" t="n"/>
      <c r="D125" s="30" t="n"/>
      <c r="E125" s="31" t="n"/>
      <c r="F125" s="30" t="n"/>
      <c r="G125" s="30">
        <f>IF(A125="","",MONTH(A125))</f>
        <v/>
      </c>
    </row>
    <row r="126">
      <c r="A126" s="29" t="n"/>
      <c r="B126" s="30" t="n"/>
      <c r="C126" s="30" t="n"/>
      <c r="D126" s="30" t="n"/>
      <c r="E126" s="31" t="n"/>
      <c r="F126" s="30" t="n"/>
      <c r="G126" s="30">
        <f>IF(A126="","",MONTH(A126))</f>
        <v/>
      </c>
    </row>
    <row r="127">
      <c r="A127" s="29" t="n"/>
      <c r="B127" s="30" t="n"/>
      <c r="C127" s="30" t="n"/>
      <c r="D127" s="30" t="n"/>
      <c r="E127" s="31" t="n"/>
      <c r="F127" s="30" t="n"/>
      <c r="G127" s="30">
        <f>IF(A127="","",MONTH(A127))</f>
        <v/>
      </c>
    </row>
    <row r="128">
      <c r="A128" s="29" t="n"/>
      <c r="B128" s="30" t="n"/>
      <c r="C128" s="30" t="n"/>
      <c r="D128" s="30" t="n"/>
      <c r="E128" s="31" t="n"/>
      <c r="F128" s="30" t="n"/>
      <c r="G128" s="30">
        <f>IF(A128="","",MONTH(A128))</f>
        <v/>
      </c>
    </row>
    <row r="129">
      <c r="A129" s="29" t="n"/>
      <c r="B129" s="30" t="n"/>
      <c r="C129" s="30" t="n"/>
      <c r="D129" s="30" t="n"/>
      <c r="E129" s="31" t="n"/>
      <c r="F129" s="30" t="n"/>
      <c r="G129" s="30">
        <f>IF(A129="","",MONTH(A129))</f>
        <v/>
      </c>
    </row>
    <row r="130">
      <c r="A130" s="29" t="n"/>
      <c r="B130" s="30" t="n"/>
      <c r="C130" s="30" t="n"/>
      <c r="D130" s="30" t="n"/>
      <c r="E130" s="31" t="n"/>
      <c r="F130" s="30" t="n"/>
      <c r="G130" s="30">
        <f>IF(A130="","",MONTH(A130))</f>
        <v/>
      </c>
    </row>
    <row r="131">
      <c r="A131" s="29" t="n"/>
      <c r="B131" s="30" t="n"/>
      <c r="C131" s="30" t="n"/>
      <c r="D131" s="30" t="n"/>
      <c r="E131" s="31" t="n"/>
      <c r="F131" s="30" t="n"/>
      <c r="G131" s="30">
        <f>IF(A131="","",MONTH(A131))</f>
        <v/>
      </c>
    </row>
    <row r="132">
      <c r="A132" s="29" t="n"/>
      <c r="B132" s="30" t="n"/>
      <c r="C132" s="30" t="n"/>
      <c r="D132" s="30" t="n"/>
      <c r="E132" s="31" t="n"/>
      <c r="F132" s="30" t="n"/>
      <c r="G132" s="30">
        <f>IF(A132="","",MONTH(A132))</f>
        <v/>
      </c>
    </row>
    <row r="133">
      <c r="A133" s="29" t="n"/>
      <c r="B133" s="30" t="n"/>
      <c r="C133" s="30" t="n"/>
      <c r="D133" s="30" t="n"/>
      <c r="E133" s="31" t="n"/>
      <c r="F133" s="30" t="n"/>
      <c r="G133" s="30">
        <f>IF(A133="","",MONTH(A133))</f>
        <v/>
      </c>
    </row>
    <row r="134">
      <c r="A134" s="29" t="n"/>
      <c r="B134" s="30" t="n"/>
      <c r="C134" s="30" t="n"/>
      <c r="D134" s="30" t="n"/>
      <c r="E134" s="31" t="n"/>
      <c r="F134" s="30" t="n"/>
      <c r="G134" s="30">
        <f>IF(A134="","",MONTH(A134))</f>
        <v/>
      </c>
    </row>
    <row r="135">
      <c r="A135" s="29" t="n"/>
      <c r="B135" s="30" t="n"/>
      <c r="C135" s="30" t="n"/>
      <c r="D135" s="30" t="n"/>
      <c r="E135" s="31" t="n"/>
      <c r="F135" s="30" t="n"/>
      <c r="G135" s="30">
        <f>IF(A135="","",MONTH(A135))</f>
        <v/>
      </c>
    </row>
    <row r="136">
      <c r="A136" s="29" t="n"/>
      <c r="B136" s="30" t="n"/>
      <c r="C136" s="30" t="n"/>
      <c r="D136" s="30" t="n"/>
      <c r="E136" s="31" t="n"/>
      <c r="F136" s="30" t="n"/>
      <c r="G136" s="30">
        <f>IF(A136="","",MONTH(A136))</f>
        <v/>
      </c>
    </row>
    <row r="137">
      <c r="A137" s="29" t="n"/>
      <c r="B137" s="30" t="n"/>
      <c r="C137" s="30" t="n"/>
      <c r="D137" s="30" t="n"/>
      <c r="E137" s="31" t="n"/>
      <c r="F137" s="30" t="n"/>
      <c r="G137" s="30">
        <f>IF(A137="","",MONTH(A137))</f>
        <v/>
      </c>
    </row>
    <row r="138">
      <c r="A138" s="29" t="n"/>
      <c r="B138" s="30" t="n"/>
      <c r="C138" s="30" t="n"/>
      <c r="D138" s="30" t="n"/>
      <c r="E138" s="31" t="n"/>
      <c r="F138" s="30" t="n"/>
      <c r="G138" s="30">
        <f>IF(A138="","",MONTH(A138))</f>
        <v/>
      </c>
    </row>
    <row r="139">
      <c r="A139" s="29" t="n"/>
      <c r="B139" s="30" t="n"/>
      <c r="C139" s="30" t="n"/>
      <c r="D139" s="30" t="n"/>
      <c r="E139" s="31" t="n"/>
      <c r="F139" s="30" t="n"/>
      <c r="G139" s="30">
        <f>IF(A139="","",MONTH(A139))</f>
        <v/>
      </c>
    </row>
    <row r="140">
      <c r="A140" s="29" t="n"/>
      <c r="B140" s="30" t="n"/>
      <c r="C140" s="30" t="n"/>
      <c r="D140" s="30" t="n"/>
      <c r="E140" s="31" t="n"/>
      <c r="F140" s="30" t="n"/>
      <c r="G140" s="30">
        <f>IF(A140="","",MONTH(A140))</f>
        <v/>
      </c>
    </row>
    <row r="141">
      <c r="A141" s="29" t="n"/>
      <c r="B141" s="30" t="n"/>
      <c r="C141" s="30" t="n"/>
      <c r="D141" s="30" t="n"/>
      <c r="E141" s="31" t="n"/>
      <c r="F141" s="30" t="n"/>
      <c r="G141" s="30">
        <f>IF(A141="","",MONTH(A141))</f>
        <v/>
      </c>
    </row>
    <row r="142">
      <c r="A142" s="29" t="n"/>
      <c r="B142" s="30" t="n"/>
      <c r="C142" s="30" t="n"/>
      <c r="D142" s="30" t="n"/>
      <c r="E142" s="31" t="n"/>
      <c r="F142" s="30" t="n"/>
      <c r="G142" s="30">
        <f>IF(A142="","",MONTH(A142))</f>
        <v/>
      </c>
    </row>
    <row r="143">
      <c r="A143" s="29" t="n"/>
      <c r="B143" s="30" t="n"/>
      <c r="C143" s="30" t="n"/>
      <c r="D143" s="30" t="n"/>
      <c r="E143" s="31" t="n"/>
      <c r="F143" s="30" t="n"/>
      <c r="G143" s="30">
        <f>IF(A143="","",MONTH(A143))</f>
        <v/>
      </c>
    </row>
    <row r="144">
      <c r="A144" s="29" t="n"/>
      <c r="B144" s="30" t="n"/>
      <c r="C144" s="30" t="n"/>
      <c r="D144" s="30" t="n"/>
      <c r="E144" s="31" t="n"/>
      <c r="F144" s="30" t="n"/>
      <c r="G144" s="30">
        <f>IF(A144="","",MONTH(A144))</f>
        <v/>
      </c>
    </row>
    <row r="145">
      <c r="A145" s="29" t="n"/>
      <c r="B145" s="30" t="n"/>
      <c r="C145" s="30" t="n"/>
      <c r="D145" s="30" t="n"/>
      <c r="E145" s="31" t="n"/>
      <c r="F145" s="30" t="n"/>
      <c r="G145" s="30">
        <f>IF(A145="","",MONTH(A145))</f>
        <v/>
      </c>
    </row>
    <row r="146">
      <c r="A146" s="29" t="n"/>
      <c r="B146" s="30" t="n"/>
      <c r="C146" s="30" t="n"/>
      <c r="D146" s="30" t="n"/>
      <c r="E146" s="31" t="n"/>
      <c r="F146" s="30" t="n"/>
      <c r="G146" s="30">
        <f>IF(A146="","",MONTH(A146))</f>
        <v/>
      </c>
    </row>
    <row r="147">
      <c r="A147" s="29" t="n"/>
      <c r="B147" s="30" t="n"/>
      <c r="C147" s="30" t="n"/>
      <c r="D147" s="30" t="n"/>
      <c r="E147" s="31" t="n"/>
      <c r="F147" s="30" t="n"/>
      <c r="G147" s="30">
        <f>IF(A147="","",MONTH(A147))</f>
        <v/>
      </c>
    </row>
    <row r="148">
      <c r="A148" s="29" t="n"/>
      <c r="B148" s="30" t="n"/>
      <c r="C148" s="30" t="n"/>
      <c r="D148" s="30" t="n"/>
      <c r="E148" s="31" t="n"/>
      <c r="F148" s="30" t="n"/>
      <c r="G148" s="30">
        <f>IF(A148="","",MONTH(A148))</f>
        <v/>
      </c>
    </row>
    <row r="149">
      <c r="A149" s="29" t="n"/>
      <c r="B149" s="30" t="n"/>
      <c r="C149" s="30" t="n"/>
      <c r="D149" s="30" t="n"/>
      <c r="E149" s="31" t="n"/>
      <c r="F149" s="30" t="n"/>
      <c r="G149" s="30">
        <f>IF(A149="","",MONTH(A149))</f>
        <v/>
      </c>
    </row>
    <row r="150">
      <c r="A150" s="29" t="n"/>
      <c r="B150" s="30" t="n"/>
      <c r="C150" s="30" t="n"/>
      <c r="D150" s="30" t="n"/>
      <c r="E150" s="31" t="n"/>
      <c r="F150" s="30" t="n"/>
      <c r="G150" s="30">
        <f>IF(A150="","",MONTH(A150))</f>
        <v/>
      </c>
    </row>
    <row r="151">
      <c r="A151" s="29" t="n"/>
      <c r="B151" s="30" t="n"/>
      <c r="C151" s="30" t="n"/>
      <c r="D151" s="30" t="n"/>
      <c r="E151" s="31" t="n"/>
      <c r="F151" s="30" t="n"/>
      <c r="G151" s="30">
        <f>IF(A151="","",MONTH(A151))</f>
        <v/>
      </c>
    </row>
    <row r="152">
      <c r="A152" s="29" t="n"/>
      <c r="B152" s="30" t="n"/>
      <c r="C152" s="30" t="n"/>
      <c r="D152" s="30" t="n"/>
      <c r="E152" s="31" t="n"/>
      <c r="F152" s="30" t="n"/>
      <c r="G152" s="30">
        <f>IF(A152="","",MONTH(A152))</f>
        <v/>
      </c>
    </row>
    <row r="153">
      <c r="A153" s="29" t="n"/>
      <c r="B153" s="30" t="n"/>
      <c r="C153" s="30" t="n"/>
      <c r="D153" s="30" t="n"/>
      <c r="E153" s="31" t="n"/>
      <c r="F153" s="30" t="n"/>
      <c r="G153" s="30">
        <f>IF(A153="","",MONTH(A153))</f>
        <v/>
      </c>
    </row>
    <row r="154">
      <c r="A154" s="29" t="n"/>
      <c r="B154" s="30" t="n"/>
      <c r="C154" s="30" t="n"/>
      <c r="D154" s="30" t="n"/>
      <c r="E154" s="31" t="n"/>
      <c r="F154" s="30" t="n"/>
      <c r="G154" s="30">
        <f>IF(A154="","",MONTH(A154))</f>
        <v/>
      </c>
    </row>
    <row r="155">
      <c r="A155" s="29" t="n"/>
      <c r="B155" s="30" t="n"/>
      <c r="C155" s="30" t="n"/>
      <c r="D155" s="30" t="n"/>
      <c r="E155" s="31" t="n"/>
      <c r="F155" s="30" t="n"/>
      <c r="G155" s="30">
        <f>IF(A155="","",MONTH(A155))</f>
        <v/>
      </c>
    </row>
    <row r="156">
      <c r="A156" s="29" t="n"/>
      <c r="B156" s="30" t="n"/>
      <c r="C156" s="30" t="n"/>
      <c r="D156" s="30" t="n"/>
      <c r="E156" s="31" t="n"/>
      <c r="F156" s="30" t="n"/>
      <c r="G156" s="30">
        <f>IF(A156="","",MONTH(A156))</f>
        <v/>
      </c>
    </row>
    <row r="157">
      <c r="A157" s="29" t="n"/>
      <c r="B157" s="30" t="n"/>
      <c r="C157" s="30" t="n"/>
      <c r="D157" s="30" t="n"/>
      <c r="E157" s="31" t="n"/>
      <c r="F157" s="30" t="n"/>
      <c r="G157" s="30">
        <f>IF(A157="","",MONTH(A157))</f>
        <v/>
      </c>
    </row>
    <row r="158">
      <c r="A158" s="29" t="n"/>
      <c r="B158" s="30" t="n"/>
      <c r="C158" s="30" t="n"/>
      <c r="D158" s="30" t="n"/>
      <c r="E158" s="31" t="n"/>
      <c r="F158" s="30" t="n"/>
      <c r="G158" s="30">
        <f>IF(A158="","",MONTH(A158))</f>
        <v/>
      </c>
    </row>
    <row r="159">
      <c r="A159" s="29" t="n"/>
      <c r="B159" s="30" t="n"/>
      <c r="C159" s="30" t="n"/>
      <c r="D159" s="30" t="n"/>
      <c r="E159" s="31" t="n"/>
      <c r="F159" s="30" t="n"/>
      <c r="G159" s="30">
        <f>IF(A159="","",MONTH(A159))</f>
        <v/>
      </c>
    </row>
    <row r="160">
      <c r="A160" s="29" t="n"/>
      <c r="B160" s="30" t="n"/>
      <c r="C160" s="30" t="n"/>
      <c r="D160" s="30" t="n"/>
      <c r="E160" s="31" t="n"/>
      <c r="F160" s="30" t="n"/>
      <c r="G160" s="30">
        <f>IF(A160="","",MONTH(A160))</f>
        <v/>
      </c>
    </row>
    <row r="161">
      <c r="A161" s="29" t="n"/>
      <c r="B161" s="30" t="n"/>
      <c r="C161" s="30" t="n"/>
      <c r="D161" s="30" t="n"/>
      <c r="E161" s="31" t="n"/>
      <c r="F161" s="30" t="n"/>
      <c r="G161" s="30">
        <f>IF(A161="","",MONTH(A161))</f>
        <v/>
      </c>
    </row>
    <row r="162">
      <c r="A162" s="29" t="n"/>
      <c r="B162" s="30" t="n"/>
      <c r="C162" s="30" t="n"/>
      <c r="D162" s="30" t="n"/>
      <c r="E162" s="31" t="n"/>
      <c r="F162" s="30" t="n"/>
      <c r="G162" s="30">
        <f>IF(A162="","",MONTH(A162))</f>
        <v/>
      </c>
    </row>
    <row r="163">
      <c r="A163" s="29" t="n"/>
      <c r="B163" s="30" t="n"/>
      <c r="C163" s="30" t="n"/>
      <c r="D163" s="30" t="n"/>
      <c r="E163" s="31" t="n"/>
      <c r="F163" s="30" t="n"/>
      <c r="G163" s="30">
        <f>IF(A163="","",MONTH(A163))</f>
        <v/>
      </c>
    </row>
    <row r="164">
      <c r="A164" s="29" t="n"/>
      <c r="B164" s="30" t="n"/>
      <c r="C164" s="30" t="n"/>
      <c r="D164" s="30" t="n"/>
      <c r="E164" s="31" t="n"/>
      <c r="F164" s="30" t="n"/>
      <c r="G164" s="30">
        <f>IF(A164="","",MONTH(A164))</f>
        <v/>
      </c>
    </row>
    <row r="165">
      <c r="A165" s="29" t="n"/>
      <c r="B165" s="30" t="n"/>
      <c r="C165" s="30" t="n"/>
      <c r="D165" s="30" t="n"/>
      <c r="E165" s="31" t="n"/>
      <c r="F165" s="30" t="n"/>
      <c r="G165" s="30">
        <f>IF(A165="","",MONTH(A165))</f>
        <v/>
      </c>
    </row>
    <row r="166">
      <c r="A166" s="29" t="n"/>
      <c r="B166" s="30" t="n"/>
      <c r="C166" s="30" t="n"/>
      <c r="D166" s="30" t="n"/>
      <c r="E166" s="31" t="n"/>
      <c r="F166" s="30" t="n"/>
      <c r="G166" s="30">
        <f>IF(A166="","",MONTH(A166))</f>
        <v/>
      </c>
    </row>
    <row r="167">
      <c r="A167" s="29" t="n"/>
      <c r="B167" s="30" t="n"/>
      <c r="C167" s="30" t="n"/>
      <c r="D167" s="30" t="n"/>
      <c r="E167" s="31" t="n"/>
      <c r="F167" s="30" t="n"/>
      <c r="G167" s="30">
        <f>IF(A167="","",MONTH(A167))</f>
        <v/>
      </c>
    </row>
    <row r="168">
      <c r="A168" s="29" t="n"/>
      <c r="B168" s="30" t="n"/>
      <c r="C168" s="30" t="n"/>
      <c r="D168" s="30" t="n"/>
      <c r="E168" s="31" t="n"/>
      <c r="F168" s="30" t="n"/>
      <c r="G168" s="30">
        <f>IF(A168="","",MONTH(A168))</f>
        <v/>
      </c>
    </row>
    <row r="169">
      <c r="A169" s="29" t="n"/>
      <c r="B169" s="30" t="n"/>
      <c r="C169" s="30" t="n"/>
      <c r="D169" s="30" t="n"/>
      <c r="E169" s="31" t="n"/>
      <c r="F169" s="30" t="n"/>
      <c r="G169" s="30">
        <f>IF(A169="","",MONTH(A169))</f>
        <v/>
      </c>
    </row>
    <row r="170">
      <c r="A170" s="29" t="n"/>
      <c r="B170" s="30" t="n"/>
      <c r="C170" s="30" t="n"/>
      <c r="D170" s="30" t="n"/>
      <c r="E170" s="31" t="n"/>
      <c r="F170" s="30" t="n"/>
      <c r="G170" s="30">
        <f>IF(A170="","",MONTH(A170))</f>
        <v/>
      </c>
    </row>
    <row r="171">
      <c r="A171" s="29" t="n"/>
      <c r="B171" s="30" t="n"/>
      <c r="C171" s="30" t="n"/>
      <c r="D171" s="30" t="n"/>
      <c r="E171" s="31" t="n"/>
      <c r="F171" s="30" t="n"/>
      <c r="G171" s="30">
        <f>IF(A171="","",MONTH(A171))</f>
        <v/>
      </c>
    </row>
    <row r="172">
      <c r="A172" s="29" t="n"/>
      <c r="B172" s="30" t="n"/>
      <c r="C172" s="30" t="n"/>
      <c r="D172" s="30" t="n"/>
      <c r="E172" s="31" t="n"/>
      <c r="F172" s="30" t="n"/>
      <c r="G172" s="30">
        <f>IF(A172="","",MONTH(A172))</f>
        <v/>
      </c>
    </row>
    <row r="173">
      <c r="A173" s="29" t="n"/>
      <c r="B173" s="30" t="n"/>
      <c r="C173" s="30" t="n"/>
      <c r="D173" s="30" t="n"/>
      <c r="E173" s="31" t="n"/>
      <c r="F173" s="30" t="n"/>
      <c r="G173" s="30">
        <f>IF(A173="","",MONTH(A173))</f>
        <v/>
      </c>
    </row>
    <row r="174">
      <c r="A174" s="29" t="n"/>
      <c r="B174" s="30" t="n"/>
      <c r="C174" s="30" t="n"/>
      <c r="D174" s="30" t="n"/>
      <c r="E174" s="31" t="n"/>
      <c r="F174" s="30" t="n"/>
      <c r="G174" s="30">
        <f>IF(A174="","",MONTH(A174))</f>
        <v/>
      </c>
    </row>
    <row r="175">
      <c r="A175" s="29" t="n"/>
      <c r="B175" s="30" t="n"/>
      <c r="C175" s="30" t="n"/>
      <c r="D175" s="30" t="n"/>
      <c r="E175" s="31" t="n"/>
      <c r="F175" s="30" t="n"/>
      <c r="G175" s="30">
        <f>IF(A175="","",MONTH(A175))</f>
        <v/>
      </c>
    </row>
    <row r="176">
      <c r="A176" s="29" t="n"/>
      <c r="B176" s="30" t="n"/>
      <c r="C176" s="30" t="n"/>
      <c r="D176" s="30" t="n"/>
      <c r="E176" s="31" t="n"/>
      <c r="F176" s="30" t="n"/>
      <c r="G176" s="30">
        <f>IF(A176="","",MONTH(A176))</f>
        <v/>
      </c>
    </row>
    <row r="177">
      <c r="A177" s="29" t="n"/>
      <c r="B177" s="30" t="n"/>
      <c r="C177" s="30" t="n"/>
      <c r="D177" s="30" t="n"/>
      <c r="E177" s="31" t="n"/>
      <c r="F177" s="30" t="n"/>
      <c r="G177" s="30">
        <f>IF(A177="","",MONTH(A177))</f>
        <v/>
      </c>
    </row>
    <row r="178">
      <c r="A178" s="29" t="n"/>
      <c r="B178" s="30" t="n"/>
      <c r="C178" s="30" t="n"/>
      <c r="D178" s="30" t="n"/>
      <c r="E178" s="31" t="n"/>
      <c r="F178" s="30" t="n"/>
      <c r="G178" s="30">
        <f>IF(A178="","",MONTH(A178))</f>
        <v/>
      </c>
    </row>
    <row r="179">
      <c r="A179" s="29" t="n"/>
      <c r="B179" s="30" t="n"/>
      <c r="C179" s="30" t="n"/>
      <c r="D179" s="30" t="n"/>
      <c r="E179" s="31" t="n"/>
      <c r="F179" s="30" t="n"/>
      <c r="G179" s="30">
        <f>IF(A179="","",MONTH(A179))</f>
        <v/>
      </c>
    </row>
    <row r="180">
      <c r="A180" s="29" t="n"/>
      <c r="B180" s="30" t="n"/>
      <c r="C180" s="30" t="n"/>
      <c r="D180" s="30" t="n"/>
      <c r="E180" s="31" t="n"/>
      <c r="F180" s="30" t="n"/>
      <c r="G180" s="30">
        <f>IF(A180="","",MONTH(A180))</f>
        <v/>
      </c>
    </row>
    <row r="181">
      <c r="A181" s="29" t="n"/>
      <c r="B181" s="30" t="n"/>
      <c r="C181" s="30" t="n"/>
      <c r="D181" s="30" t="n"/>
      <c r="E181" s="31" t="n"/>
      <c r="F181" s="30" t="n"/>
      <c r="G181" s="30">
        <f>IF(A181="","",MONTH(A181))</f>
        <v/>
      </c>
    </row>
    <row r="182">
      <c r="A182" s="29" t="n"/>
      <c r="B182" s="30" t="n"/>
      <c r="C182" s="30" t="n"/>
      <c r="D182" s="30" t="n"/>
      <c r="E182" s="31" t="n"/>
      <c r="F182" s="30" t="n"/>
      <c r="G182" s="30">
        <f>IF(A182="","",MONTH(A182))</f>
        <v/>
      </c>
    </row>
    <row r="183">
      <c r="A183" s="29" t="n"/>
      <c r="B183" s="30" t="n"/>
      <c r="C183" s="30" t="n"/>
      <c r="D183" s="30" t="n"/>
      <c r="E183" s="31" t="n"/>
      <c r="F183" s="30" t="n"/>
      <c r="G183" s="30">
        <f>IF(A183="","",MONTH(A183))</f>
        <v/>
      </c>
    </row>
    <row r="184">
      <c r="A184" s="29" t="n"/>
      <c r="B184" s="30" t="n"/>
      <c r="C184" s="30" t="n"/>
      <c r="D184" s="30" t="n"/>
      <c r="E184" s="31" t="n"/>
      <c r="F184" s="30" t="n"/>
      <c r="G184" s="30">
        <f>IF(A184="","",MONTH(A184))</f>
        <v/>
      </c>
    </row>
    <row r="185">
      <c r="A185" s="29" t="n"/>
      <c r="B185" s="30" t="n"/>
      <c r="C185" s="30" t="n"/>
      <c r="D185" s="30" t="n"/>
      <c r="E185" s="31" t="n"/>
      <c r="F185" s="30" t="n"/>
      <c r="G185" s="30">
        <f>IF(A185="","",MONTH(A185))</f>
        <v/>
      </c>
    </row>
    <row r="186">
      <c r="A186" s="29" t="n"/>
      <c r="B186" s="30" t="n"/>
      <c r="C186" s="30" t="n"/>
      <c r="D186" s="30" t="n"/>
      <c r="E186" s="31" t="n"/>
      <c r="F186" s="30" t="n"/>
      <c r="G186" s="30">
        <f>IF(A186="","",MONTH(A186))</f>
        <v/>
      </c>
    </row>
    <row r="187">
      <c r="A187" s="29" t="n"/>
      <c r="B187" s="30" t="n"/>
      <c r="C187" s="30" t="n"/>
      <c r="D187" s="30" t="n"/>
      <c r="E187" s="31" t="n"/>
      <c r="F187" s="30" t="n"/>
      <c r="G187" s="30">
        <f>IF(A187="","",MONTH(A187))</f>
        <v/>
      </c>
    </row>
    <row r="188">
      <c r="A188" s="29" t="n"/>
      <c r="B188" s="30" t="n"/>
      <c r="C188" s="30" t="n"/>
      <c r="D188" s="30" t="n"/>
      <c r="E188" s="31" t="n"/>
      <c r="F188" s="30" t="n"/>
      <c r="G188" s="30">
        <f>IF(A188="","",MONTH(A188))</f>
        <v/>
      </c>
    </row>
    <row r="189">
      <c r="A189" s="29" t="n"/>
      <c r="B189" s="30" t="n"/>
      <c r="C189" s="30" t="n"/>
      <c r="D189" s="30" t="n"/>
      <c r="E189" s="31" t="n"/>
      <c r="F189" s="30" t="n"/>
      <c r="G189" s="30">
        <f>IF(A189="","",MONTH(A189))</f>
        <v/>
      </c>
    </row>
    <row r="190">
      <c r="A190" s="29" t="n"/>
      <c r="B190" s="30" t="n"/>
      <c r="C190" s="30" t="n"/>
      <c r="D190" s="30" t="n"/>
      <c r="E190" s="31" t="n"/>
      <c r="F190" s="30" t="n"/>
      <c r="G190" s="30">
        <f>IF(A190="","",MONTH(A190))</f>
        <v/>
      </c>
    </row>
    <row r="191">
      <c r="A191" s="29" t="n"/>
      <c r="B191" s="30" t="n"/>
      <c r="C191" s="30" t="n"/>
      <c r="D191" s="30" t="n"/>
      <c r="E191" s="31" t="n"/>
      <c r="F191" s="30" t="n"/>
      <c r="G191" s="30">
        <f>IF(A191="","",MONTH(A191))</f>
        <v/>
      </c>
    </row>
    <row r="192">
      <c r="A192" s="29" t="n"/>
      <c r="B192" s="30" t="n"/>
      <c r="C192" s="30" t="n"/>
      <c r="D192" s="30" t="n"/>
      <c r="E192" s="31" t="n"/>
      <c r="F192" s="30" t="n"/>
      <c r="G192" s="30">
        <f>IF(A192="","",MONTH(A192))</f>
        <v/>
      </c>
    </row>
    <row r="193">
      <c r="A193" s="29" t="n"/>
      <c r="B193" s="30" t="n"/>
      <c r="C193" s="30" t="n"/>
      <c r="D193" s="30" t="n"/>
      <c r="E193" s="31" t="n"/>
      <c r="F193" s="30" t="n"/>
      <c r="G193" s="30">
        <f>IF(A193="","",MONTH(A193))</f>
        <v/>
      </c>
    </row>
    <row r="194">
      <c r="A194" s="29" t="n"/>
      <c r="B194" s="30" t="n"/>
      <c r="C194" s="30" t="n"/>
      <c r="D194" s="30" t="n"/>
      <c r="E194" s="31" t="n"/>
      <c r="F194" s="30" t="n"/>
      <c r="G194" s="30">
        <f>IF(A194="","",MONTH(A194))</f>
        <v/>
      </c>
    </row>
    <row r="195">
      <c r="A195" s="29" t="n"/>
      <c r="B195" s="30" t="n"/>
      <c r="C195" s="30" t="n"/>
      <c r="D195" s="30" t="n"/>
      <c r="E195" s="31" t="n"/>
      <c r="F195" s="30" t="n"/>
      <c r="G195" s="30">
        <f>IF(A195="","",MONTH(A195))</f>
        <v/>
      </c>
    </row>
    <row r="196">
      <c r="A196" s="29" t="n"/>
      <c r="B196" s="30" t="n"/>
      <c r="C196" s="30" t="n"/>
      <c r="D196" s="30" t="n"/>
      <c r="E196" s="31" t="n"/>
      <c r="F196" s="30" t="n"/>
      <c r="G196" s="30">
        <f>IF(A196="","",MONTH(A196))</f>
        <v/>
      </c>
    </row>
    <row r="197">
      <c r="A197" s="29" t="n"/>
      <c r="B197" s="30" t="n"/>
      <c r="C197" s="30" t="n"/>
      <c r="D197" s="30" t="n"/>
      <c r="E197" s="31" t="n"/>
      <c r="F197" s="30" t="n"/>
      <c r="G197" s="30">
        <f>IF(A197="","",MONTH(A197))</f>
        <v/>
      </c>
    </row>
    <row r="198">
      <c r="A198" s="29" t="n"/>
      <c r="B198" s="30" t="n"/>
      <c r="C198" s="30" t="n"/>
      <c r="D198" s="30" t="n"/>
      <c r="E198" s="31" t="n"/>
      <c r="F198" s="30" t="n"/>
      <c r="G198" s="30">
        <f>IF(A198="","",MONTH(A198))</f>
        <v/>
      </c>
    </row>
    <row r="199">
      <c r="A199" s="29" t="n"/>
      <c r="B199" s="30" t="n"/>
      <c r="C199" s="30" t="n"/>
      <c r="D199" s="30" t="n"/>
      <c r="E199" s="31" t="n"/>
      <c r="F199" s="30" t="n"/>
      <c r="G199" s="30">
        <f>IF(A199="","",MONTH(A199))</f>
        <v/>
      </c>
    </row>
    <row r="200">
      <c r="A200" s="29" t="n"/>
      <c r="B200" s="30" t="n"/>
      <c r="C200" s="30" t="n"/>
      <c r="D200" s="30" t="n"/>
      <c r="E200" s="31" t="n"/>
      <c r="F200" s="30" t="n"/>
      <c r="G200" s="30">
        <f>IF(A200="","",MONTH(A200))</f>
        <v/>
      </c>
    </row>
    <row r="201">
      <c r="A201" s="29" t="n"/>
      <c r="B201" s="30" t="n"/>
      <c r="C201" s="30" t="n"/>
      <c r="D201" s="30" t="n"/>
      <c r="E201" s="31" t="n"/>
      <c r="F201" s="30" t="n"/>
      <c r="G201" s="30">
        <f>IF(A201="","",MONTH(A201))</f>
        <v/>
      </c>
    </row>
    <row r="202">
      <c r="A202" s="29" t="n"/>
      <c r="B202" s="30" t="n"/>
      <c r="C202" s="30" t="n"/>
      <c r="D202" s="30" t="n"/>
      <c r="E202" s="31" t="n"/>
      <c r="F202" s="30" t="n"/>
      <c r="G202" s="30">
        <f>IF(A202="","",MONTH(A202))</f>
        <v/>
      </c>
    </row>
    <row r="203">
      <c r="A203" s="29" t="n"/>
      <c r="B203" s="30" t="n"/>
      <c r="C203" s="30" t="n"/>
      <c r="D203" s="30" t="n"/>
      <c r="E203" s="31" t="n"/>
      <c r="F203" s="30" t="n"/>
      <c r="G203" s="30">
        <f>IF(A203="","",MONTH(A203))</f>
        <v/>
      </c>
    </row>
    <row r="204">
      <c r="A204" s="29" t="n"/>
      <c r="B204" s="30" t="n"/>
      <c r="C204" s="30" t="n"/>
      <c r="D204" s="30" t="n"/>
      <c r="E204" s="31" t="n"/>
      <c r="F204" s="30" t="n"/>
      <c r="G204" s="30">
        <f>IF(A204="","",MONTH(A204))</f>
        <v/>
      </c>
    </row>
    <row r="205">
      <c r="A205" s="29" t="n"/>
      <c r="B205" s="30" t="n"/>
      <c r="C205" s="30" t="n"/>
      <c r="D205" s="30" t="n"/>
      <c r="E205" s="31" t="n"/>
      <c r="F205" s="30" t="n"/>
      <c r="G205" s="30">
        <f>IF(A205="","",MONTH(A205))</f>
        <v/>
      </c>
    </row>
    <row r="206">
      <c r="A206" s="29" t="n"/>
      <c r="B206" s="30" t="n"/>
      <c r="C206" s="30" t="n"/>
      <c r="D206" s="30" t="n"/>
      <c r="E206" s="31" t="n"/>
      <c r="F206" s="30" t="n"/>
      <c r="G206" s="30">
        <f>IF(A206="","",MONTH(A206))</f>
        <v/>
      </c>
    </row>
    <row r="207">
      <c r="A207" s="29" t="n"/>
      <c r="B207" s="30" t="n"/>
      <c r="C207" s="30" t="n"/>
      <c r="D207" s="30" t="n"/>
      <c r="E207" s="31" t="n"/>
      <c r="F207" s="30" t="n"/>
      <c r="G207" s="30">
        <f>IF(A207="","",MONTH(A207))</f>
        <v/>
      </c>
    </row>
    <row r="208">
      <c r="A208" s="29" t="n"/>
      <c r="B208" s="30" t="n"/>
      <c r="C208" s="30" t="n"/>
      <c r="D208" s="30" t="n"/>
      <c r="E208" s="31" t="n"/>
      <c r="F208" s="30" t="n"/>
      <c r="G208" s="30">
        <f>IF(A208="","",MONTH(A208))</f>
        <v/>
      </c>
    </row>
    <row r="209">
      <c r="A209" s="29" t="n"/>
      <c r="B209" s="30" t="n"/>
      <c r="C209" s="30" t="n"/>
      <c r="D209" s="30" t="n"/>
      <c r="E209" s="31" t="n"/>
      <c r="F209" s="30" t="n"/>
      <c r="G209" s="30">
        <f>IF(A209="","",MONTH(A209))</f>
        <v/>
      </c>
    </row>
    <row r="210">
      <c r="A210" s="29" t="n"/>
      <c r="B210" s="30" t="n"/>
      <c r="C210" s="30" t="n"/>
      <c r="D210" s="30" t="n"/>
      <c r="E210" s="31" t="n"/>
      <c r="F210" s="30" t="n"/>
      <c r="G210" s="30">
        <f>IF(A210="","",MONTH(A210))</f>
        <v/>
      </c>
    </row>
    <row r="211">
      <c r="A211" s="29" t="n"/>
      <c r="B211" s="30" t="n"/>
      <c r="C211" s="30" t="n"/>
      <c r="D211" s="30" t="n"/>
      <c r="E211" s="31" t="n"/>
      <c r="F211" s="30" t="n"/>
      <c r="G211" s="30">
        <f>IF(A211="","",MONTH(A211))</f>
        <v/>
      </c>
    </row>
    <row r="212">
      <c r="A212" s="29" t="n"/>
      <c r="B212" s="30" t="n"/>
      <c r="C212" s="30" t="n"/>
      <c r="D212" s="30" t="n"/>
      <c r="E212" s="31" t="n"/>
      <c r="F212" s="30" t="n"/>
      <c r="G212" s="30">
        <f>IF(A212="","",MONTH(A212))</f>
        <v/>
      </c>
    </row>
    <row r="213">
      <c r="A213" s="29" t="n"/>
      <c r="B213" s="30" t="n"/>
      <c r="C213" s="30" t="n"/>
      <c r="D213" s="30" t="n"/>
      <c r="E213" s="31" t="n"/>
      <c r="F213" s="30" t="n"/>
      <c r="G213" s="30">
        <f>IF(A213="","",MONTH(A213))</f>
        <v/>
      </c>
    </row>
    <row r="214">
      <c r="A214" s="29" t="n"/>
      <c r="B214" s="30" t="n"/>
      <c r="C214" s="30" t="n"/>
      <c r="D214" s="30" t="n"/>
      <c r="E214" s="31" t="n"/>
      <c r="F214" s="30" t="n"/>
      <c r="G214" s="30">
        <f>IF(A214="","",MONTH(A214))</f>
        <v/>
      </c>
    </row>
    <row r="215">
      <c r="A215" s="29" t="n"/>
      <c r="B215" s="30" t="n"/>
      <c r="C215" s="30" t="n"/>
      <c r="D215" s="30" t="n"/>
      <c r="E215" s="31" t="n"/>
      <c r="F215" s="30" t="n"/>
      <c r="G215" s="30">
        <f>IF(A215="","",MONTH(A215))</f>
        <v/>
      </c>
    </row>
    <row r="216">
      <c r="A216" s="29" t="n"/>
      <c r="B216" s="30" t="n"/>
      <c r="C216" s="30" t="n"/>
      <c r="D216" s="30" t="n"/>
      <c r="E216" s="31" t="n"/>
      <c r="F216" s="30" t="n"/>
      <c r="G216" s="30">
        <f>IF(A216="","",MONTH(A216))</f>
        <v/>
      </c>
    </row>
    <row r="217">
      <c r="A217" s="29" t="n"/>
      <c r="B217" s="30" t="n"/>
      <c r="C217" s="30" t="n"/>
      <c r="D217" s="30" t="n"/>
      <c r="E217" s="31" t="n"/>
      <c r="F217" s="30" t="n"/>
      <c r="G217" s="30">
        <f>IF(A217="","",MONTH(A217))</f>
        <v/>
      </c>
    </row>
    <row r="218">
      <c r="A218" s="29" t="n"/>
      <c r="B218" s="30" t="n"/>
      <c r="C218" s="30" t="n"/>
      <c r="D218" s="30" t="n"/>
      <c r="E218" s="31" t="n"/>
      <c r="F218" s="30" t="n"/>
      <c r="G218" s="30">
        <f>IF(A218="","",MONTH(A218))</f>
        <v/>
      </c>
    </row>
    <row r="219">
      <c r="A219" s="29" t="n"/>
      <c r="B219" s="30" t="n"/>
      <c r="C219" s="30" t="n"/>
      <c r="D219" s="30" t="n"/>
      <c r="E219" s="31" t="n"/>
      <c r="F219" s="30" t="n"/>
      <c r="G219" s="30">
        <f>IF(A219="","",MONTH(A219))</f>
        <v/>
      </c>
    </row>
    <row r="220">
      <c r="A220" s="29" t="n"/>
      <c r="B220" s="30" t="n"/>
      <c r="C220" s="30" t="n"/>
      <c r="D220" s="30" t="n"/>
      <c r="E220" s="31" t="n"/>
      <c r="F220" s="30" t="n"/>
      <c r="G220" s="30">
        <f>IF(A220="","",MONTH(A220))</f>
        <v/>
      </c>
    </row>
    <row r="221">
      <c r="A221" s="29" t="n"/>
      <c r="B221" s="30" t="n"/>
      <c r="C221" s="30" t="n"/>
      <c r="D221" s="30" t="n"/>
      <c r="E221" s="31" t="n"/>
      <c r="F221" s="30" t="n"/>
      <c r="G221" s="30">
        <f>IF(A221="","",MONTH(A221))</f>
        <v/>
      </c>
    </row>
    <row r="222">
      <c r="A222" s="29" t="n"/>
      <c r="B222" s="30" t="n"/>
      <c r="C222" s="30" t="n"/>
      <c r="D222" s="30" t="n"/>
      <c r="E222" s="31" t="n"/>
      <c r="F222" s="30" t="n"/>
      <c r="G222" s="30">
        <f>IF(A222="","",MONTH(A222))</f>
        <v/>
      </c>
    </row>
    <row r="223">
      <c r="A223" s="29" t="n"/>
      <c r="B223" s="30" t="n"/>
      <c r="C223" s="30" t="n"/>
      <c r="D223" s="30" t="n"/>
      <c r="E223" s="31" t="n"/>
      <c r="F223" s="30" t="n"/>
      <c r="G223" s="30">
        <f>IF(A223="","",MONTH(A223))</f>
        <v/>
      </c>
    </row>
    <row r="224">
      <c r="A224" s="29" t="n"/>
      <c r="B224" s="30" t="n"/>
      <c r="C224" s="30" t="n"/>
      <c r="D224" s="30" t="n"/>
      <c r="E224" s="31" t="n"/>
      <c r="F224" s="30" t="n"/>
      <c r="G224" s="30">
        <f>IF(A224="","",MONTH(A224))</f>
        <v/>
      </c>
    </row>
    <row r="225">
      <c r="A225" s="29" t="n"/>
      <c r="B225" s="30" t="n"/>
      <c r="C225" s="30" t="n"/>
      <c r="D225" s="30" t="n"/>
      <c r="E225" s="31" t="n"/>
      <c r="F225" s="30" t="n"/>
      <c r="G225" s="30">
        <f>IF(A225="","",MONTH(A225))</f>
        <v/>
      </c>
    </row>
    <row r="226">
      <c r="A226" s="29" t="n"/>
      <c r="B226" s="30" t="n"/>
      <c r="C226" s="30" t="n"/>
      <c r="D226" s="30" t="n"/>
      <c r="E226" s="31" t="n"/>
      <c r="F226" s="30" t="n"/>
      <c r="G226" s="30">
        <f>IF(A226="","",MONTH(A226))</f>
        <v/>
      </c>
    </row>
    <row r="227">
      <c r="A227" s="29" t="n"/>
      <c r="B227" s="30" t="n"/>
      <c r="C227" s="30" t="n"/>
      <c r="D227" s="30" t="n"/>
      <c r="E227" s="31" t="n"/>
      <c r="F227" s="30" t="n"/>
      <c r="G227" s="30">
        <f>IF(A227="","",MONTH(A227))</f>
        <v/>
      </c>
    </row>
    <row r="228">
      <c r="A228" s="29" t="n"/>
      <c r="B228" s="30" t="n"/>
      <c r="C228" s="30" t="n"/>
      <c r="D228" s="30" t="n"/>
      <c r="E228" s="31" t="n"/>
      <c r="F228" s="30" t="n"/>
      <c r="G228" s="30">
        <f>IF(A228="","",MONTH(A228))</f>
        <v/>
      </c>
    </row>
    <row r="229">
      <c r="A229" s="29" t="n"/>
      <c r="B229" s="30" t="n"/>
      <c r="C229" s="30" t="n"/>
      <c r="D229" s="30" t="n"/>
      <c r="E229" s="31" t="n"/>
      <c r="F229" s="30" t="n"/>
      <c r="G229" s="30">
        <f>IF(A229="","",MONTH(A229))</f>
        <v/>
      </c>
    </row>
    <row r="230">
      <c r="A230" s="29" t="n"/>
      <c r="B230" s="30" t="n"/>
      <c r="C230" s="30" t="n"/>
      <c r="D230" s="30" t="n"/>
      <c r="E230" s="31" t="n"/>
      <c r="F230" s="30" t="n"/>
      <c r="G230" s="30">
        <f>IF(A230="","",MONTH(A230))</f>
        <v/>
      </c>
    </row>
    <row r="231">
      <c r="A231" s="29" t="n"/>
      <c r="B231" s="30" t="n"/>
      <c r="C231" s="30" t="n"/>
      <c r="D231" s="30" t="n"/>
      <c r="E231" s="31" t="n"/>
      <c r="F231" s="30" t="n"/>
      <c r="G231" s="30">
        <f>IF(A231="","",MONTH(A231))</f>
        <v/>
      </c>
    </row>
    <row r="232">
      <c r="A232" s="29" t="n"/>
      <c r="B232" s="30" t="n"/>
      <c r="C232" s="30" t="n"/>
      <c r="D232" s="30" t="n"/>
      <c r="E232" s="31" t="n"/>
      <c r="F232" s="30" t="n"/>
      <c r="G232" s="30">
        <f>IF(A232="","",MONTH(A232))</f>
        <v/>
      </c>
    </row>
    <row r="233">
      <c r="A233" s="29" t="n"/>
      <c r="B233" s="30" t="n"/>
      <c r="C233" s="30" t="n"/>
      <c r="D233" s="30" t="n"/>
      <c r="E233" s="31" t="n"/>
      <c r="F233" s="30" t="n"/>
      <c r="G233" s="30">
        <f>IF(A233="","",MONTH(A233))</f>
        <v/>
      </c>
    </row>
    <row r="234">
      <c r="A234" s="29" t="n"/>
      <c r="B234" s="30" t="n"/>
      <c r="C234" s="30" t="n"/>
      <c r="D234" s="30" t="n"/>
      <c r="E234" s="31" t="n"/>
      <c r="F234" s="30" t="n"/>
      <c r="G234" s="30">
        <f>IF(A234="","",MONTH(A234))</f>
        <v/>
      </c>
    </row>
    <row r="235">
      <c r="A235" s="29" t="n"/>
      <c r="B235" s="30" t="n"/>
      <c r="C235" s="30" t="n"/>
      <c r="D235" s="30" t="n"/>
      <c r="E235" s="31" t="n"/>
      <c r="F235" s="30" t="n"/>
      <c r="G235" s="30">
        <f>IF(A235="","",MONTH(A235))</f>
        <v/>
      </c>
    </row>
    <row r="236">
      <c r="A236" s="29" t="n"/>
      <c r="B236" s="30" t="n"/>
      <c r="C236" s="30" t="n"/>
      <c r="D236" s="30" t="n"/>
      <c r="E236" s="31" t="n"/>
      <c r="F236" s="30" t="n"/>
      <c r="G236" s="30">
        <f>IF(A236="","",MONTH(A236))</f>
        <v/>
      </c>
    </row>
    <row r="237">
      <c r="A237" s="29" t="n"/>
      <c r="B237" s="30" t="n"/>
      <c r="C237" s="30" t="n"/>
      <c r="D237" s="30" t="n"/>
      <c r="E237" s="31" t="n"/>
      <c r="F237" s="30" t="n"/>
      <c r="G237" s="30">
        <f>IF(A237="","",MONTH(A237))</f>
        <v/>
      </c>
    </row>
    <row r="238">
      <c r="A238" s="29" t="n"/>
      <c r="B238" s="30" t="n"/>
      <c r="C238" s="30" t="n"/>
      <c r="D238" s="30" t="n"/>
      <c r="E238" s="31" t="n"/>
      <c r="F238" s="30" t="n"/>
      <c r="G238" s="30">
        <f>IF(A238="","",MONTH(A238))</f>
        <v/>
      </c>
    </row>
    <row r="239">
      <c r="A239" s="29" t="n"/>
      <c r="B239" s="30" t="n"/>
      <c r="C239" s="30" t="n"/>
      <c r="D239" s="30" t="n"/>
      <c r="E239" s="31" t="n"/>
      <c r="F239" s="30" t="n"/>
      <c r="G239" s="30">
        <f>IF(A239="","",MONTH(A239))</f>
        <v/>
      </c>
    </row>
    <row r="240">
      <c r="A240" s="29" t="n"/>
      <c r="B240" s="30" t="n"/>
      <c r="C240" s="30" t="n"/>
      <c r="D240" s="30" t="n"/>
      <c r="E240" s="31" t="n"/>
      <c r="F240" s="30" t="n"/>
      <c r="G240" s="30">
        <f>IF(A240="","",MONTH(A240))</f>
        <v/>
      </c>
    </row>
    <row r="241">
      <c r="A241" s="29" t="n"/>
      <c r="B241" s="30" t="n"/>
      <c r="C241" s="30" t="n"/>
      <c r="D241" s="30" t="n"/>
      <c r="E241" s="31" t="n"/>
      <c r="F241" s="30" t="n"/>
      <c r="G241" s="30">
        <f>IF(A241="","",MONTH(A241))</f>
        <v/>
      </c>
    </row>
    <row r="242">
      <c r="A242" s="29" t="n"/>
      <c r="B242" s="30" t="n"/>
      <c r="C242" s="30" t="n"/>
      <c r="D242" s="30" t="n"/>
      <c r="E242" s="31" t="n"/>
      <c r="F242" s="30" t="n"/>
      <c r="G242" s="30">
        <f>IF(A242="","",MONTH(A242))</f>
        <v/>
      </c>
    </row>
    <row r="243">
      <c r="A243" s="29" t="n"/>
      <c r="B243" s="30" t="n"/>
      <c r="C243" s="30" t="n"/>
      <c r="D243" s="30" t="n"/>
      <c r="E243" s="31" t="n"/>
      <c r="F243" s="30" t="n"/>
      <c r="G243" s="30">
        <f>IF(A243="","",MONTH(A243))</f>
        <v/>
      </c>
    </row>
    <row r="244">
      <c r="A244" s="29" t="n"/>
      <c r="B244" s="30" t="n"/>
      <c r="C244" s="30" t="n"/>
      <c r="D244" s="30" t="n"/>
      <c r="E244" s="31" t="n"/>
      <c r="F244" s="30" t="n"/>
      <c r="G244" s="30">
        <f>IF(A244="","",MONTH(A244))</f>
        <v/>
      </c>
    </row>
    <row r="245">
      <c r="A245" s="29" t="n"/>
      <c r="B245" s="30" t="n"/>
      <c r="C245" s="30" t="n"/>
      <c r="D245" s="30" t="n"/>
      <c r="E245" s="31" t="n"/>
      <c r="F245" s="30" t="n"/>
      <c r="G245" s="30">
        <f>IF(A245="","",MONTH(A245))</f>
        <v/>
      </c>
    </row>
    <row r="246">
      <c r="A246" s="29" t="n"/>
      <c r="B246" s="30" t="n"/>
      <c r="C246" s="30" t="n"/>
      <c r="D246" s="30" t="n"/>
      <c r="E246" s="31" t="n"/>
      <c r="F246" s="30" t="n"/>
      <c r="G246" s="30">
        <f>IF(A246="","",MONTH(A246))</f>
        <v/>
      </c>
    </row>
    <row r="247">
      <c r="A247" s="29" t="n"/>
      <c r="B247" s="30" t="n"/>
      <c r="C247" s="30" t="n"/>
      <c r="D247" s="30" t="n"/>
      <c r="E247" s="31" t="n"/>
      <c r="F247" s="30" t="n"/>
      <c r="G247" s="30">
        <f>IF(A247="","",MONTH(A247))</f>
        <v/>
      </c>
    </row>
    <row r="248">
      <c r="A248" s="29" t="n"/>
      <c r="B248" s="30" t="n"/>
      <c r="C248" s="30" t="n"/>
      <c r="D248" s="30" t="n"/>
      <c r="E248" s="31" t="n"/>
      <c r="F248" s="30" t="n"/>
      <c r="G248" s="30">
        <f>IF(A248="","",MONTH(A248))</f>
        <v/>
      </c>
    </row>
    <row r="249">
      <c r="A249" s="29" t="n"/>
      <c r="B249" s="30" t="n"/>
      <c r="C249" s="30" t="n"/>
      <c r="D249" s="30" t="n"/>
      <c r="E249" s="31" t="n"/>
      <c r="F249" s="30" t="n"/>
      <c r="G249" s="30">
        <f>IF(A249="","",MONTH(A249))</f>
        <v/>
      </c>
    </row>
    <row r="250">
      <c r="A250" s="29" t="n"/>
      <c r="B250" s="30" t="n"/>
      <c r="C250" s="30" t="n"/>
      <c r="D250" s="30" t="n"/>
      <c r="E250" s="31" t="n"/>
      <c r="F250" s="30" t="n"/>
      <c r="G250" s="30">
        <f>IF(A250="","",MONTH(A250))</f>
        <v/>
      </c>
    </row>
    <row r="251">
      <c r="A251" s="29" t="n"/>
      <c r="B251" s="30" t="n"/>
      <c r="C251" s="30" t="n"/>
      <c r="D251" s="30" t="n"/>
      <c r="E251" s="31" t="n"/>
      <c r="F251" s="30" t="n"/>
      <c r="G251" s="30">
        <f>IF(A251="","",MONTH(A251))</f>
        <v/>
      </c>
    </row>
    <row r="252">
      <c r="A252" s="29" t="n"/>
      <c r="B252" s="30" t="n"/>
      <c r="C252" s="30" t="n"/>
      <c r="D252" s="30" t="n"/>
      <c r="E252" s="31" t="n"/>
      <c r="F252" s="30" t="n"/>
      <c r="G252" s="30">
        <f>IF(A252="","",MONTH(A252))</f>
        <v/>
      </c>
    </row>
    <row r="253">
      <c r="A253" s="29" t="n"/>
      <c r="B253" s="30" t="n"/>
      <c r="C253" s="30" t="n"/>
      <c r="D253" s="30" t="n"/>
      <c r="E253" s="31" t="n"/>
      <c r="F253" s="30" t="n"/>
      <c r="G253" s="30">
        <f>IF(A253="","",MONTH(A253))</f>
        <v/>
      </c>
    </row>
    <row r="254">
      <c r="A254" s="29" t="n"/>
      <c r="B254" s="30" t="n"/>
      <c r="C254" s="30" t="n"/>
      <c r="D254" s="30" t="n"/>
      <c r="E254" s="31" t="n"/>
      <c r="F254" s="30" t="n"/>
      <c r="G254" s="30">
        <f>IF(A254="","",MONTH(A254))</f>
        <v/>
      </c>
    </row>
    <row r="255">
      <c r="A255" s="29" t="n"/>
      <c r="B255" s="30" t="n"/>
      <c r="C255" s="30" t="n"/>
      <c r="D255" s="30" t="n"/>
      <c r="E255" s="31" t="n"/>
      <c r="F255" s="30" t="n"/>
      <c r="G255" s="30">
        <f>IF(A255="","",MONTH(A255))</f>
        <v/>
      </c>
    </row>
    <row r="256">
      <c r="A256" s="29" t="n"/>
      <c r="B256" s="30" t="n"/>
      <c r="C256" s="30" t="n"/>
      <c r="D256" s="30" t="n"/>
      <c r="E256" s="31" t="n"/>
      <c r="F256" s="30" t="n"/>
      <c r="G256" s="30">
        <f>IF(A256="","",MONTH(A256))</f>
        <v/>
      </c>
    </row>
    <row r="257">
      <c r="A257" s="29" t="n"/>
      <c r="B257" s="30" t="n"/>
      <c r="C257" s="30" t="n"/>
      <c r="D257" s="30" t="n"/>
      <c r="E257" s="31" t="n"/>
      <c r="F257" s="30" t="n"/>
      <c r="G257" s="30">
        <f>IF(A257="","",MONTH(A257))</f>
        <v/>
      </c>
    </row>
    <row r="258">
      <c r="A258" s="29" t="n"/>
      <c r="B258" s="30" t="n"/>
      <c r="C258" s="30" t="n"/>
      <c r="D258" s="30" t="n"/>
      <c r="E258" s="31" t="n"/>
      <c r="F258" s="30" t="n"/>
      <c r="G258" s="30">
        <f>IF(A258="","",MONTH(A258))</f>
        <v/>
      </c>
    </row>
    <row r="259">
      <c r="A259" s="29" t="n"/>
      <c r="B259" s="30" t="n"/>
      <c r="C259" s="30" t="n"/>
      <c r="D259" s="30" t="n"/>
      <c r="E259" s="31" t="n"/>
      <c r="F259" s="30" t="n"/>
      <c r="G259" s="30">
        <f>IF(A259="","",MONTH(A259))</f>
        <v/>
      </c>
    </row>
    <row r="260">
      <c r="A260" s="29" t="n"/>
      <c r="B260" s="30" t="n"/>
      <c r="C260" s="30" t="n"/>
      <c r="D260" s="30" t="n"/>
      <c r="E260" s="31" t="n"/>
      <c r="F260" s="30" t="n"/>
      <c r="G260" s="30">
        <f>IF(A260="","",MONTH(A260))</f>
        <v/>
      </c>
    </row>
    <row r="261">
      <c r="A261" s="29" t="n"/>
      <c r="B261" s="30" t="n"/>
      <c r="C261" s="30" t="n"/>
      <c r="D261" s="30" t="n"/>
      <c r="E261" s="31" t="n"/>
      <c r="F261" s="30" t="n"/>
      <c r="G261" s="30">
        <f>IF(A261="","",MONTH(A261))</f>
        <v/>
      </c>
    </row>
    <row r="262">
      <c r="A262" s="29" t="n"/>
      <c r="B262" s="30" t="n"/>
      <c r="C262" s="30" t="n"/>
      <c r="D262" s="30" t="n"/>
      <c r="E262" s="31" t="n"/>
      <c r="F262" s="30" t="n"/>
      <c r="G262" s="30">
        <f>IF(A262="","",MONTH(A262))</f>
        <v/>
      </c>
    </row>
    <row r="263">
      <c r="A263" s="29" t="n"/>
      <c r="B263" s="30" t="n"/>
      <c r="C263" s="30" t="n"/>
      <c r="D263" s="30" t="n"/>
      <c r="E263" s="31" t="n"/>
      <c r="F263" s="30" t="n"/>
      <c r="G263" s="30">
        <f>IF(A263="","",MONTH(A263))</f>
        <v/>
      </c>
    </row>
    <row r="264">
      <c r="A264" s="29" t="n"/>
      <c r="B264" s="30" t="n"/>
      <c r="C264" s="30" t="n"/>
      <c r="D264" s="30" t="n"/>
      <c r="E264" s="31" t="n"/>
      <c r="F264" s="30" t="n"/>
      <c r="G264" s="30">
        <f>IF(A264="","",MONTH(A264))</f>
        <v/>
      </c>
    </row>
    <row r="265">
      <c r="A265" s="29" t="n"/>
      <c r="B265" s="30" t="n"/>
      <c r="C265" s="30" t="n"/>
      <c r="D265" s="30" t="n"/>
      <c r="E265" s="31" t="n"/>
      <c r="F265" s="30" t="n"/>
      <c r="G265" s="30">
        <f>IF(A265="","",MONTH(A265))</f>
        <v/>
      </c>
    </row>
    <row r="266">
      <c r="A266" s="29" t="n"/>
      <c r="B266" s="30" t="n"/>
      <c r="C266" s="30" t="n"/>
      <c r="D266" s="30" t="n"/>
      <c r="E266" s="31" t="n"/>
      <c r="F266" s="30" t="n"/>
      <c r="G266" s="30">
        <f>IF(A266="","",MONTH(A266))</f>
        <v/>
      </c>
    </row>
    <row r="267">
      <c r="A267" s="29" t="n"/>
      <c r="B267" s="30" t="n"/>
      <c r="C267" s="30" t="n"/>
      <c r="D267" s="30" t="n"/>
      <c r="E267" s="31" t="n"/>
      <c r="F267" s="30" t="n"/>
      <c r="G267" s="30">
        <f>IF(A267="","",MONTH(A267))</f>
        <v/>
      </c>
    </row>
    <row r="268">
      <c r="A268" s="29" t="n"/>
      <c r="B268" s="30" t="n"/>
      <c r="C268" s="30" t="n"/>
      <c r="D268" s="30" t="n"/>
      <c r="E268" s="31" t="n"/>
      <c r="F268" s="30" t="n"/>
      <c r="G268" s="30">
        <f>IF(A268="","",MONTH(A268))</f>
        <v/>
      </c>
    </row>
    <row r="269">
      <c r="A269" s="29" t="n"/>
      <c r="B269" s="30" t="n"/>
      <c r="C269" s="30" t="n"/>
      <c r="D269" s="30" t="n"/>
      <c r="E269" s="31" t="n"/>
      <c r="F269" s="30" t="n"/>
      <c r="G269" s="30">
        <f>IF(A269="","",MONTH(A269))</f>
        <v/>
      </c>
    </row>
    <row r="270">
      <c r="A270" s="29" t="n"/>
      <c r="B270" s="30" t="n"/>
      <c r="C270" s="30" t="n"/>
      <c r="D270" s="30" t="n"/>
      <c r="E270" s="31" t="n"/>
      <c r="F270" s="30" t="n"/>
      <c r="G270" s="30">
        <f>IF(A270="","",MONTH(A270))</f>
        <v/>
      </c>
    </row>
    <row r="271">
      <c r="A271" s="29" t="n"/>
      <c r="B271" s="30" t="n"/>
      <c r="C271" s="30" t="n"/>
      <c r="D271" s="30" t="n"/>
      <c r="E271" s="31" t="n"/>
      <c r="F271" s="30" t="n"/>
      <c r="G271" s="30">
        <f>IF(A271="","",MONTH(A271))</f>
        <v/>
      </c>
    </row>
    <row r="272">
      <c r="A272" s="29" t="n"/>
      <c r="B272" s="30" t="n"/>
      <c r="C272" s="30" t="n"/>
      <c r="D272" s="30" t="n"/>
      <c r="E272" s="31" t="n"/>
      <c r="F272" s="30" t="n"/>
      <c r="G272" s="30">
        <f>IF(A272="","",MONTH(A272))</f>
        <v/>
      </c>
    </row>
    <row r="273">
      <c r="A273" s="29" t="n"/>
      <c r="B273" s="30" t="n"/>
      <c r="C273" s="30" t="n"/>
      <c r="D273" s="30" t="n"/>
      <c r="E273" s="31" t="n"/>
      <c r="F273" s="30" t="n"/>
      <c r="G273" s="30">
        <f>IF(A273="","",MONTH(A273))</f>
        <v/>
      </c>
    </row>
    <row r="274">
      <c r="A274" s="29" t="n"/>
      <c r="B274" s="30" t="n"/>
      <c r="C274" s="30" t="n"/>
      <c r="D274" s="30" t="n"/>
      <c r="E274" s="31" t="n"/>
      <c r="F274" s="30" t="n"/>
      <c r="G274" s="30">
        <f>IF(A274="","",MONTH(A274))</f>
        <v/>
      </c>
    </row>
    <row r="275">
      <c r="A275" s="29" t="n"/>
      <c r="B275" s="30" t="n"/>
      <c r="C275" s="30" t="n"/>
      <c r="D275" s="30" t="n"/>
      <c r="E275" s="31" t="n"/>
      <c r="F275" s="30" t="n"/>
      <c r="G275" s="30">
        <f>IF(A275="","",MONTH(A275))</f>
        <v/>
      </c>
    </row>
    <row r="276">
      <c r="A276" s="29" t="n"/>
      <c r="B276" s="30" t="n"/>
      <c r="C276" s="30" t="n"/>
      <c r="D276" s="30" t="n"/>
      <c r="E276" s="31" t="n"/>
      <c r="F276" s="30" t="n"/>
      <c r="G276" s="30">
        <f>IF(A276="","",MONTH(A276))</f>
        <v/>
      </c>
    </row>
    <row r="277">
      <c r="A277" s="29" t="n"/>
      <c r="B277" s="30" t="n"/>
      <c r="C277" s="30" t="n"/>
      <c r="D277" s="30" t="n"/>
      <c r="E277" s="31" t="n"/>
      <c r="F277" s="30" t="n"/>
      <c r="G277" s="30">
        <f>IF(A277="","",MONTH(A277))</f>
        <v/>
      </c>
    </row>
    <row r="278">
      <c r="A278" s="29" t="n"/>
      <c r="B278" s="30" t="n"/>
      <c r="C278" s="30" t="n"/>
      <c r="D278" s="30" t="n"/>
      <c r="E278" s="31" t="n"/>
      <c r="F278" s="30" t="n"/>
      <c r="G278" s="30">
        <f>IF(A278="","",MONTH(A278))</f>
        <v/>
      </c>
    </row>
    <row r="279">
      <c r="A279" s="29" t="n"/>
      <c r="B279" s="30" t="n"/>
      <c r="C279" s="30" t="n"/>
      <c r="D279" s="30" t="n"/>
      <c r="E279" s="31" t="n"/>
      <c r="F279" s="30" t="n"/>
      <c r="G279" s="30">
        <f>IF(A279="","",MONTH(A279))</f>
        <v/>
      </c>
    </row>
    <row r="280">
      <c r="A280" s="29" t="n"/>
      <c r="B280" s="30" t="n"/>
      <c r="C280" s="30" t="n"/>
      <c r="D280" s="30" t="n"/>
      <c r="E280" s="31" t="n"/>
      <c r="F280" s="30" t="n"/>
      <c r="G280" s="30">
        <f>IF(A280="","",MONTH(A280))</f>
        <v/>
      </c>
    </row>
    <row r="281">
      <c r="A281" s="29" t="n"/>
      <c r="B281" s="30" t="n"/>
      <c r="C281" s="30" t="n"/>
      <c r="D281" s="30" t="n"/>
      <c r="E281" s="31" t="n"/>
      <c r="F281" s="30" t="n"/>
      <c r="G281" s="30">
        <f>IF(A281="","",MONTH(A281))</f>
        <v/>
      </c>
    </row>
    <row r="282">
      <c r="A282" s="29" t="n"/>
      <c r="B282" s="30" t="n"/>
      <c r="C282" s="30" t="n"/>
      <c r="D282" s="30" t="n"/>
      <c r="E282" s="31" t="n"/>
      <c r="F282" s="30" t="n"/>
      <c r="G282" s="30">
        <f>IF(A282="","",MONTH(A282))</f>
        <v/>
      </c>
    </row>
    <row r="283">
      <c r="A283" s="29" t="n"/>
      <c r="B283" s="30" t="n"/>
      <c r="C283" s="30" t="n"/>
      <c r="D283" s="30" t="n"/>
      <c r="E283" s="31" t="n"/>
      <c r="F283" s="30" t="n"/>
      <c r="G283" s="30">
        <f>IF(A283="","",MONTH(A283))</f>
        <v/>
      </c>
    </row>
    <row r="284">
      <c r="A284" s="29" t="n"/>
      <c r="B284" s="30" t="n"/>
      <c r="C284" s="30" t="n"/>
      <c r="D284" s="30" t="n"/>
      <c r="E284" s="31" t="n"/>
      <c r="F284" s="30" t="n"/>
      <c r="G284" s="30">
        <f>IF(A284="","",MONTH(A284))</f>
        <v/>
      </c>
    </row>
    <row r="285">
      <c r="A285" s="29" t="n"/>
      <c r="B285" s="30" t="n"/>
      <c r="C285" s="30" t="n"/>
      <c r="D285" s="30" t="n"/>
      <c r="E285" s="31" t="n"/>
      <c r="F285" s="30" t="n"/>
      <c r="G285" s="30">
        <f>IF(A285="","",MONTH(A285))</f>
        <v/>
      </c>
    </row>
    <row r="286">
      <c r="A286" s="29" t="n"/>
      <c r="B286" s="30" t="n"/>
      <c r="C286" s="30" t="n"/>
      <c r="D286" s="30" t="n"/>
      <c r="E286" s="31" t="n"/>
      <c r="F286" s="30" t="n"/>
      <c r="G286" s="30">
        <f>IF(A286="","",MONTH(A286))</f>
        <v/>
      </c>
    </row>
    <row r="287">
      <c r="A287" s="29" t="n"/>
      <c r="B287" s="30" t="n"/>
      <c r="C287" s="30" t="n"/>
      <c r="D287" s="30" t="n"/>
      <c r="E287" s="31" t="n"/>
      <c r="F287" s="30" t="n"/>
      <c r="G287" s="30">
        <f>IF(A287="","",MONTH(A287))</f>
        <v/>
      </c>
    </row>
    <row r="288">
      <c r="A288" s="29" t="n"/>
      <c r="B288" s="30" t="n"/>
      <c r="C288" s="30" t="n"/>
      <c r="D288" s="30" t="n"/>
      <c r="E288" s="31" t="n"/>
      <c r="F288" s="30" t="n"/>
      <c r="G288" s="30">
        <f>IF(A288="","",MONTH(A288))</f>
        <v/>
      </c>
    </row>
    <row r="289">
      <c r="A289" s="29" t="n"/>
      <c r="B289" s="30" t="n"/>
      <c r="C289" s="30" t="n"/>
      <c r="D289" s="30" t="n"/>
      <c r="E289" s="31" t="n"/>
      <c r="F289" s="30" t="n"/>
      <c r="G289" s="30">
        <f>IF(A289="","",MONTH(A289))</f>
        <v/>
      </c>
    </row>
    <row r="290">
      <c r="A290" s="29" t="n"/>
      <c r="B290" s="30" t="n"/>
      <c r="C290" s="30" t="n"/>
      <c r="D290" s="30" t="n"/>
      <c r="E290" s="31" t="n"/>
      <c r="F290" s="30" t="n"/>
      <c r="G290" s="30">
        <f>IF(A290="","",MONTH(A290))</f>
        <v/>
      </c>
    </row>
    <row r="291">
      <c r="A291" s="29" t="n"/>
      <c r="B291" s="30" t="n"/>
      <c r="C291" s="30" t="n"/>
      <c r="D291" s="30" t="n"/>
      <c r="E291" s="31" t="n"/>
      <c r="F291" s="30" t="n"/>
      <c r="G291" s="30">
        <f>IF(A291="","",MONTH(A291))</f>
        <v/>
      </c>
    </row>
    <row r="292">
      <c r="A292" s="29" t="n"/>
      <c r="B292" s="30" t="n"/>
      <c r="C292" s="30" t="n"/>
      <c r="D292" s="30" t="n"/>
      <c r="E292" s="31" t="n"/>
      <c r="F292" s="30" t="n"/>
      <c r="G292" s="30">
        <f>IF(A292="","",MONTH(A292))</f>
        <v/>
      </c>
    </row>
    <row r="293">
      <c r="A293" s="29" t="n"/>
      <c r="B293" s="30" t="n"/>
      <c r="C293" s="30" t="n"/>
      <c r="D293" s="30" t="n"/>
      <c r="E293" s="31" t="n"/>
      <c r="F293" s="30" t="n"/>
      <c r="G293" s="30">
        <f>IF(A293="","",MONTH(A293))</f>
        <v/>
      </c>
    </row>
    <row r="294">
      <c r="A294" s="29" t="n"/>
      <c r="B294" s="30" t="n"/>
      <c r="C294" s="30" t="n"/>
      <c r="D294" s="30" t="n"/>
      <c r="E294" s="31" t="n"/>
      <c r="F294" s="30" t="n"/>
      <c r="G294" s="30">
        <f>IF(A294="","",MONTH(A294))</f>
        <v/>
      </c>
    </row>
    <row r="295">
      <c r="A295" s="29" t="n"/>
      <c r="B295" s="30" t="n"/>
      <c r="C295" s="30" t="n"/>
      <c r="D295" s="30" t="n"/>
      <c r="E295" s="31" t="n"/>
      <c r="F295" s="30" t="n"/>
      <c r="G295" s="30">
        <f>IF(A295="","",MONTH(A295))</f>
        <v/>
      </c>
    </row>
    <row r="296">
      <c r="A296" s="29" t="n"/>
      <c r="B296" s="30" t="n"/>
      <c r="C296" s="30" t="n"/>
      <c r="D296" s="30" t="n"/>
      <c r="E296" s="31" t="n"/>
      <c r="F296" s="30" t="n"/>
      <c r="G296" s="30">
        <f>IF(A296="","",MONTH(A296))</f>
        <v/>
      </c>
    </row>
    <row r="297">
      <c r="A297" s="29" t="n"/>
      <c r="B297" s="30" t="n"/>
      <c r="C297" s="30" t="n"/>
      <c r="D297" s="30" t="n"/>
      <c r="E297" s="31" t="n"/>
      <c r="F297" s="30" t="n"/>
      <c r="G297" s="30">
        <f>IF(A297="","",MONTH(A297))</f>
        <v/>
      </c>
    </row>
    <row r="298">
      <c r="A298" s="29" t="n"/>
      <c r="B298" s="30" t="n"/>
      <c r="C298" s="30" t="n"/>
      <c r="D298" s="30" t="n"/>
      <c r="E298" s="31" t="n"/>
      <c r="F298" s="30" t="n"/>
      <c r="G298" s="30">
        <f>IF(A298="","",MONTH(A298))</f>
        <v/>
      </c>
    </row>
    <row r="299">
      <c r="A299" s="29" t="n"/>
      <c r="B299" s="30" t="n"/>
      <c r="C299" s="30" t="n"/>
      <c r="D299" s="30" t="n"/>
      <c r="E299" s="31" t="n"/>
      <c r="F299" s="30" t="n"/>
      <c r="G299" s="30">
        <f>IF(A299="","",MONTH(A299))</f>
        <v/>
      </c>
    </row>
    <row r="300">
      <c r="A300" s="29" t="n"/>
      <c r="B300" s="30" t="n"/>
      <c r="C300" s="30" t="n"/>
      <c r="D300" s="30" t="n"/>
      <c r="E300" s="31" t="n"/>
      <c r="F300" s="30" t="n"/>
      <c r="G300" s="30">
        <f>IF(A300="","",MONTH(A300))</f>
        <v/>
      </c>
    </row>
    <row r="301">
      <c r="A301" s="29" t="n"/>
      <c r="B301" s="30" t="n"/>
      <c r="C301" s="30" t="n"/>
      <c r="D301" s="30" t="n"/>
      <c r="E301" s="31" t="n"/>
      <c r="F301" s="30" t="n"/>
      <c r="G301" s="30">
        <f>IF(A301="","",MONTH(A301))</f>
        <v/>
      </c>
    </row>
    <row r="302">
      <c r="A302" s="29" t="n"/>
      <c r="B302" s="30" t="n"/>
      <c r="C302" s="30" t="n"/>
      <c r="D302" s="30" t="n"/>
      <c r="E302" s="31" t="n"/>
      <c r="F302" s="30" t="n"/>
      <c r="G302" s="30">
        <f>IF(A302="","",MONTH(A302))</f>
        <v/>
      </c>
    </row>
    <row r="303">
      <c r="A303" s="29" t="n"/>
      <c r="B303" s="30" t="n"/>
      <c r="C303" s="30" t="n"/>
      <c r="D303" s="30" t="n"/>
      <c r="E303" s="31" t="n"/>
      <c r="F303" s="30" t="n"/>
      <c r="G303" s="30">
        <f>IF(A303="","",MONTH(A303))</f>
        <v/>
      </c>
    </row>
    <row r="304">
      <c r="A304" s="29" t="n"/>
      <c r="B304" s="30" t="n"/>
      <c r="C304" s="30" t="n"/>
      <c r="D304" s="30" t="n"/>
      <c r="E304" s="31" t="n"/>
      <c r="F304" s="30" t="n"/>
      <c r="G304" s="30">
        <f>IF(A304="","",MONTH(A304))</f>
        <v/>
      </c>
    </row>
    <row r="305">
      <c r="A305" s="29" t="n"/>
      <c r="B305" s="30" t="n"/>
      <c r="C305" s="30" t="n"/>
      <c r="D305" s="30" t="n"/>
      <c r="E305" s="31" t="n"/>
      <c r="F305" s="30" t="n"/>
      <c r="G305" s="30">
        <f>IF(A305="","",MONTH(A305))</f>
        <v/>
      </c>
    </row>
    <row r="306">
      <c r="A306" s="29" t="n"/>
      <c r="B306" s="30" t="n"/>
      <c r="C306" s="30" t="n"/>
      <c r="D306" s="30" t="n"/>
      <c r="E306" s="31" t="n"/>
      <c r="F306" s="30" t="n"/>
      <c r="G306" s="30">
        <f>IF(A306="","",MONTH(A306))</f>
        <v/>
      </c>
    </row>
    <row r="307">
      <c r="A307" s="29" t="n"/>
      <c r="B307" s="30" t="n"/>
      <c r="C307" s="30" t="n"/>
      <c r="D307" s="30" t="n"/>
      <c r="E307" s="31" t="n"/>
      <c r="F307" s="30" t="n"/>
      <c r="G307" s="30">
        <f>IF(A307="","",MONTH(A307))</f>
        <v/>
      </c>
    </row>
    <row r="308">
      <c r="A308" s="29" t="n"/>
      <c r="B308" s="30" t="n"/>
      <c r="C308" s="30" t="n"/>
      <c r="D308" s="30" t="n"/>
      <c r="E308" s="31" t="n"/>
      <c r="F308" s="30" t="n"/>
      <c r="G308" s="30">
        <f>IF(A308="","",MONTH(A308))</f>
        <v/>
      </c>
    </row>
    <row r="309">
      <c r="A309" s="29" t="n"/>
      <c r="B309" s="30" t="n"/>
      <c r="C309" s="30" t="n"/>
      <c r="D309" s="30" t="n"/>
      <c r="E309" s="31" t="n"/>
      <c r="F309" s="30" t="n"/>
      <c r="G309" s="30">
        <f>IF(A309="","",MONTH(A309))</f>
        <v/>
      </c>
    </row>
    <row r="310">
      <c r="A310" s="29" t="n"/>
      <c r="B310" s="30" t="n"/>
      <c r="C310" s="30" t="n"/>
      <c r="D310" s="30" t="n"/>
      <c r="E310" s="31" t="n"/>
      <c r="F310" s="30" t="n"/>
      <c r="G310" s="30">
        <f>IF(A310="","",MONTH(A310))</f>
        <v/>
      </c>
    </row>
    <row r="311">
      <c r="A311" s="29" t="n"/>
      <c r="B311" s="30" t="n"/>
      <c r="C311" s="30" t="n"/>
      <c r="D311" s="30" t="n"/>
      <c r="E311" s="31" t="n"/>
      <c r="F311" s="30" t="n"/>
      <c r="G311" s="30">
        <f>IF(A311="","",MONTH(A311))</f>
        <v/>
      </c>
    </row>
    <row r="312">
      <c r="A312" s="29" t="n"/>
      <c r="B312" s="30" t="n"/>
      <c r="C312" s="30" t="n"/>
      <c r="D312" s="30" t="n"/>
      <c r="E312" s="31" t="n"/>
      <c r="F312" s="30" t="n"/>
      <c r="G312" s="30">
        <f>IF(A312="","",MONTH(A312))</f>
        <v/>
      </c>
    </row>
    <row r="313">
      <c r="A313" s="29" t="n"/>
      <c r="B313" s="30" t="n"/>
      <c r="C313" s="30" t="n"/>
      <c r="D313" s="30" t="n"/>
      <c r="E313" s="31" t="n"/>
      <c r="F313" s="30" t="n"/>
      <c r="G313" s="30">
        <f>IF(A313="","",MONTH(A313))</f>
        <v/>
      </c>
    </row>
    <row r="314">
      <c r="A314" s="29" t="n"/>
      <c r="B314" s="30" t="n"/>
      <c r="C314" s="30" t="n"/>
      <c r="D314" s="30" t="n"/>
      <c r="E314" s="31" t="n"/>
      <c r="F314" s="30" t="n"/>
      <c r="G314" s="30">
        <f>IF(A314="","",MONTH(A314))</f>
        <v/>
      </c>
    </row>
    <row r="315">
      <c r="A315" s="29" t="n"/>
      <c r="B315" s="30" t="n"/>
      <c r="C315" s="30" t="n"/>
      <c r="D315" s="30" t="n"/>
      <c r="E315" s="31" t="n"/>
      <c r="F315" s="30" t="n"/>
      <c r="G315" s="30">
        <f>IF(A315="","",MONTH(A315))</f>
        <v/>
      </c>
    </row>
    <row r="316">
      <c r="A316" s="29" t="n"/>
      <c r="B316" s="30" t="n"/>
      <c r="C316" s="30" t="n"/>
      <c r="D316" s="30" t="n"/>
      <c r="E316" s="31" t="n"/>
      <c r="F316" s="30" t="n"/>
      <c r="G316" s="30">
        <f>IF(A316="","",MONTH(A316))</f>
        <v/>
      </c>
    </row>
    <row r="317">
      <c r="A317" s="29" t="n"/>
      <c r="B317" s="30" t="n"/>
      <c r="C317" s="30" t="n"/>
      <c r="D317" s="30" t="n"/>
      <c r="E317" s="31" t="n"/>
      <c r="F317" s="30" t="n"/>
      <c r="G317" s="30">
        <f>IF(A317="","",MONTH(A317))</f>
        <v/>
      </c>
    </row>
    <row r="318">
      <c r="A318" s="29" t="n"/>
      <c r="B318" s="30" t="n"/>
      <c r="C318" s="30" t="n"/>
      <c r="D318" s="30" t="n"/>
      <c r="E318" s="31" t="n"/>
      <c r="F318" s="30" t="n"/>
      <c r="G318" s="30">
        <f>IF(A318="","",MONTH(A318))</f>
        <v/>
      </c>
    </row>
    <row r="319">
      <c r="A319" s="29" t="n"/>
      <c r="B319" s="30" t="n"/>
      <c r="C319" s="30" t="n"/>
      <c r="D319" s="30" t="n"/>
      <c r="E319" s="31" t="n"/>
      <c r="F319" s="30" t="n"/>
      <c r="G319" s="30">
        <f>IF(A319="","",MONTH(A319))</f>
        <v/>
      </c>
    </row>
    <row r="320">
      <c r="A320" s="29" t="n"/>
      <c r="B320" s="30" t="n"/>
      <c r="C320" s="30" t="n"/>
      <c r="D320" s="30" t="n"/>
      <c r="E320" s="31" t="n"/>
      <c r="F320" s="30" t="n"/>
      <c r="G320" s="30">
        <f>IF(A320="","",MONTH(A320))</f>
        <v/>
      </c>
    </row>
    <row r="321">
      <c r="A321" s="29" t="n"/>
      <c r="B321" s="30" t="n"/>
      <c r="C321" s="30" t="n"/>
      <c r="D321" s="30" t="n"/>
      <c r="E321" s="31" t="n"/>
      <c r="F321" s="30" t="n"/>
      <c r="G321" s="30">
        <f>IF(A321="","",MONTH(A321))</f>
        <v/>
      </c>
    </row>
    <row r="322">
      <c r="A322" s="29" t="n"/>
      <c r="B322" s="30" t="n"/>
      <c r="C322" s="30" t="n"/>
      <c r="D322" s="30" t="n"/>
      <c r="E322" s="31" t="n"/>
      <c r="F322" s="30" t="n"/>
      <c r="G322" s="30">
        <f>IF(A322="","",MONTH(A322))</f>
        <v/>
      </c>
    </row>
    <row r="323">
      <c r="A323" s="29" t="n"/>
      <c r="B323" s="30" t="n"/>
      <c r="C323" s="30" t="n"/>
      <c r="D323" s="30" t="n"/>
      <c r="E323" s="31" t="n"/>
      <c r="F323" s="30" t="n"/>
      <c r="G323" s="30">
        <f>IF(A323="","",MONTH(A323))</f>
        <v/>
      </c>
    </row>
    <row r="324">
      <c r="A324" s="29" t="n"/>
      <c r="B324" s="30" t="n"/>
      <c r="C324" s="30" t="n"/>
      <c r="D324" s="30" t="n"/>
      <c r="E324" s="31" t="n"/>
      <c r="F324" s="30" t="n"/>
      <c r="G324" s="30">
        <f>IF(A324="","",MONTH(A324))</f>
        <v/>
      </c>
    </row>
    <row r="325">
      <c r="A325" s="29" t="n"/>
      <c r="B325" s="30" t="n"/>
      <c r="C325" s="30" t="n"/>
      <c r="D325" s="30" t="n"/>
      <c r="E325" s="31" t="n"/>
      <c r="F325" s="30" t="n"/>
      <c r="G325" s="30">
        <f>IF(A325="","",MONTH(A325))</f>
        <v/>
      </c>
    </row>
    <row r="326">
      <c r="A326" s="29" t="n"/>
      <c r="B326" s="30" t="n"/>
      <c r="C326" s="30" t="n"/>
      <c r="D326" s="30" t="n"/>
      <c r="E326" s="31" t="n"/>
      <c r="F326" s="30" t="n"/>
      <c r="G326" s="30">
        <f>IF(A326="","",MONTH(A326))</f>
        <v/>
      </c>
    </row>
    <row r="327">
      <c r="A327" s="29" t="n"/>
      <c r="B327" s="30" t="n"/>
      <c r="C327" s="30" t="n"/>
      <c r="D327" s="30" t="n"/>
      <c r="E327" s="31" t="n"/>
      <c r="F327" s="30" t="n"/>
      <c r="G327" s="30">
        <f>IF(A327="","",MONTH(A327))</f>
        <v/>
      </c>
    </row>
    <row r="328">
      <c r="A328" s="29" t="n"/>
      <c r="B328" s="30" t="n"/>
      <c r="C328" s="30" t="n"/>
      <c r="D328" s="30" t="n"/>
      <c r="E328" s="31" t="n"/>
      <c r="F328" s="30" t="n"/>
      <c r="G328" s="30">
        <f>IF(A328="","",MONTH(A328))</f>
        <v/>
      </c>
    </row>
    <row r="329">
      <c r="A329" s="29" t="n"/>
      <c r="B329" s="30" t="n"/>
      <c r="C329" s="30" t="n"/>
      <c r="D329" s="30" t="n"/>
      <c r="E329" s="31" t="n"/>
      <c r="F329" s="30" t="n"/>
      <c r="G329" s="30">
        <f>IF(A329="","",MONTH(A329))</f>
        <v/>
      </c>
    </row>
    <row r="330">
      <c r="A330" s="29" t="n"/>
      <c r="B330" s="30" t="n"/>
      <c r="C330" s="30" t="n"/>
      <c r="D330" s="30" t="n"/>
      <c r="E330" s="31" t="n"/>
      <c r="F330" s="30" t="n"/>
      <c r="G330" s="30">
        <f>IF(A330="","",MONTH(A330))</f>
        <v/>
      </c>
    </row>
    <row r="331">
      <c r="A331" s="29" t="n"/>
      <c r="B331" s="30" t="n"/>
      <c r="C331" s="30" t="n"/>
      <c r="D331" s="30" t="n"/>
      <c r="E331" s="31" t="n"/>
      <c r="F331" s="30" t="n"/>
      <c r="G331" s="30">
        <f>IF(A331="","",MONTH(A331))</f>
        <v/>
      </c>
    </row>
    <row r="332">
      <c r="A332" s="29" t="n"/>
      <c r="B332" s="30" t="n"/>
      <c r="C332" s="30" t="n"/>
      <c r="D332" s="30" t="n"/>
      <c r="E332" s="31" t="n"/>
      <c r="F332" s="30" t="n"/>
      <c r="G332" s="30">
        <f>IF(A332="","",MONTH(A332))</f>
        <v/>
      </c>
    </row>
    <row r="333">
      <c r="A333" s="29" t="n"/>
      <c r="B333" s="30" t="n"/>
      <c r="C333" s="30" t="n"/>
      <c r="D333" s="30" t="n"/>
      <c r="E333" s="31" t="n"/>
      <c r="F333" s="30" t="n"/>
      <c r="G333" s="30">
        <f>IF(A333="","",MONTH(A333))</f>
        <v/>
      </c>
    </row>
    <row r="334">
      <c r="A334" s="29" t="n"/>
      <c r="B334" s="30" t="n"/>
      <c r="C334" s="30" t="n"/>
      <c r="D334" s="30" t="n"/>
      <c r="E334" s="31" t="n"/>
      <c r="F334" s="30" t="n"/>
      <c r="G334" s="30">
        <f>IF(A334="","",MONTH(A334))</f>
        <v/>
      </c>
    </row>
    <row r="335">
      <c r="A335" s="29" t="n"/>
      <c r="B335" s="30" t="n"/>
      <c r="C335" s="30" t="n"/>
      <c r="D335" s="30" t="n"/>
      <c r="E335" s="31" t="n"/>
      <c r="F335" s="30" t="n"/>
      <c r="G335" s="30">
        <f>IF(A335="","",MONTH(A335))</f>
        <v/>
      </c>
    </row>
    <row r="336">
      <c r="A336" s="29" t="n"/>
      <c r="B336" s="30" t="n"/>
      <c r="C336" s="30" t="n"/>
      <c r="D336" s="30" t="n"/>
      <c r="E336" s="31" t="n"/>
      <c r="F336" s="30" t="n"/>
      <c r="G336" s="30">
        <f>IF(A336="","",MONTH(A336))</f>
        <v/>
      </c>
    </row>
    <row r="337">
      <c r="A337" s="29" t="n"/>
      <c r="B337" s="30" t="n"/>
      <c r="C337" s="30" t="n"/>
      <c r="D337" s="30" t="n"/>
      <c r="E337" s="31" t="n"/>
      <c r="F337" s="30" t="n"/>
      <c r="G337" s="30">
        <f>IF(A337="","",MONTH(A337))</f>
        <v/>
      </c>
    </row>
    <row r="338">
      <c r="A338" s="29" t="n"/>
      <c r="B338" s="30" t="n"/>
      <c r="C338" s="30" t="n"/>
      <c r="D338" s="30" t="n"/>
      <c r="E338" s="31" t="n"/>
      <c r="F338" s="30" t="n"/>
      <c r="G338" s="30">
        <f>IF(A338="","",MONTH(A338))</f>
        <v/>
      </c>
    </row>
    <row r="339">
      <c r="A339" s="29" t="n"/>
      <c r="B339" s="30" t="n"/>
      <c r="C339" s="30" t="n"/>
      <c r="D339" s="30" t="n"/>
      <c r="E339" s="31" t="n"/>
      <c r="F339" s="30" t="n"/>
      <c r="G339" s="30">
        <f>IF(A339="","",MONTH(A339))</f>
        <v/>
      </c>
    </row>
    <row r="340">
      <c r="A340" s="29" t="n"/>
      <c r="B340" s="30" t="n"/>
      <c r="C340" s="30" t="n"/>
      <c r="D340" s="30" t="n"/>
      <c r="E340" s="31" t="n"/>
      <c r="F340" s="30" t="n"/>
      <c r="G340" s="30">
        <f>IF(A340="","",MONTH(A340))</f>
        <v/>
      </c>
    </row>
    <row r="341">
      <c r="A341" s="29" t="n"/>
      <c r="B341" s="30" t="n"/>
      <c r="C341" s="30" t="n"/>
      <c r="D341" s="30" t="n"/>
      <c r="E341" s="31" t="n"/>
      <c r="F341" s="30" t="n"/>
      <c r="G341" s="30">
        <f>IF(A341="","",MONTH(A341))</f>
        <v/>
      </c>
    </row>
    <row r="342">
      <c r="A342" s="29" t="n"/>
      <c r="B342" s="30" t="n"/>
      <c r="C342" s="30" t="n"/>
      <c r="D342" s="30" t="n"/>
      <c r="E342" s="31" t="n"/>
      <c r="F342" s="30" t="n"/>
      <c r="G342" s="30">
        <f>IF(A342="","",MONTH(A342))</f>
        <v/>
      </c>
    </row>
    <row r="343">
      <c r="A343" s="29" t="n"/>
      <c r="B343" s="30" t="n"/>
      <c r="C343" s="30" t="n"/>
      <c r="D343" s="30" t="n"/>
      <c r="E343" s="31" t="n"/>
      <c r="F343" s="30" t="n"/>
      <c r="G343" s="30">
        <f>IF(A343="","",MONTH(A343))</f>
        <v/>
      </c>
    </row>
    <row r="344">
      <c r="A344" s="29" t="n"/>
      <c r="B344" s="30" t="n"/>
      <c r="C344" s="30" t="n"/>
      <c r="D344" s="30" t="n"/>
      <c r="E344" s="31" t="n"/>
      <c r="F344" s="30" t="n"/>
      <c r="G344" s="30">
        <f>IF(A344="","",MONTH(A344))</f>
        <v/>
      </c>
    </row>
    <row r="345">
      <c r="A345" s="29" t="n"/>
      <c r="B345" s="30" t="n"/>
      <c r="C345" s="30" t="n"/>
      <c r="D345" s="30" t="n"/>
      <c r="E345" s="31" t="n"/>
      <c r="F345" s="30" t="n"/>
      <c r="G345" s="30">
        <f>IF(A345="","",MONTH(A345))</f>
        <v/>
      </c>
    </row>
    <row r="346">
      <c r="A346" s="29" t="n"/>
      <c r="B346" s="30" t="n"/>
      <c r="C346" s="30" t="n"/>
      <c r="D346" s="30" t="n"/>
      <c r="E346" s="31" t="n"/>
      <c r="F346" s="30" t="n"/>
      <c r="G346" s="30">
        <f>IF(A346="","",MONTH(A346))</f>
        <v/>
      </c>
    </row>
    <row r="347">
      <c r="A347" s="29" t="n"/>
      <c r="B347" s="30" t="n"/>
      <c r="C347" s="30" t="n"/>
      <c r="D347" s="30" t="n"/>
      <c r="E347" s="31" t="n"/>
      <c r="F347" s="30" t="n"/>
      <c r="G347" s="30">
        <f>IF(A347="","",MONTH(A347))</f>
        <v/>
      </c>
    </row>
    <row r="348">
      <c r="A348" s="29" t="n"/>
      <c r="B348" s="30" t="n"/>
      <c r="C348" s="30" t="n"/>
      <c r="D348" s="30" t="n"/>
      <c r="E348" s="31" t="n"/>
      <c r="F348" s="30" t="n"/>
      <c r="G348" s="30">
        <f>IF(A348="","",MONTH(A348))</f>
        <v/>
      </c>
    </row>
    <row r="349">
      <c r="A349" s="29" t="n"/>
      <c r="B349" s="30" t="n"/>
      <c r="C349" s="30" t="n"/>
      <c r="D349" s="30" t="n"/>
      <c r="E349" s="31" t="n"/>
      <c r="F349" s="30" t="n"/>
      <c r="G349" s="30">
        <f>IF(A349="","",MONTH(A349))</f>
        <v/>
      </c>
    </row>
    <row r="350">
      <c r="A350" s="29" t="n"/>
      <c r="B350" s="30" t="n"/>
      <c r="C350" s="30" t="n"/>
      <c r="D350" s="30" t="n"/>
      <c r="E350" s="31" t="n"/>
      <c r="F350" s="30" t="n"/>
      <c r="G350" s="30">
        <f>IF(A350="","",MONTH(A350))</f>
        <v/>
      </c>
    </row>
    <row r="351">
      <c r="A351" s="29" t="n"/>
      <c r="B351" s="30" t="n"/>
      <c r="C351" s="30" t="n"/>
      <c r="D351" s="30" t="n"/>
      <c r="E351" s="31" t="n"/>
      <c r="F351" s="30" t="n"/>
      <c r="G351" s="30">
        <f>IF(A351="","",MONTH(A351))</f>
        <v/>
      </c>
    </row>
    <row r="352">
      <c r="A352" s="29" t="n"/>
      <c r="B352" s="30" t="n"/>
      <c r="C352" s="30" t="n"/>
      <c r="D352" s="30" t="n"/>
      <c r="E352" s="31" t="n"/>
      <c r="F352" s="30" t="n"/>
      <c r="G352" s="30">
        <f>IF(A352="","",MONTH(A352))</f>
        <v/>
      </c>
    </row>
    <row r="353">
      <c r="A353" s="29" t="n"/>
      <c r="B353" s="30" t="n"/>
      <c r="C353" s="30" t="n"/>
      <c r="D353" s="30" t="n"/>
      <c r="E353" s="31" t="n"/>
      <c r="F353" s="30" t="n"/>
      <c r="G353" s="30">
        <f>IF(A353="","",MONTH(A353))</f>
        <v/>
      </c>
    </row>
    <row r="354">
      <c r="A354" s="29" t="n"/>
      <c r="B354" s="30" t="n"/>
      <c r="C354" s="30" t="n"/>
      <c r="D354" s="30" t="n"/>
      <c r="E354" s="31" t="n"/>
      <c r="F354" s="30" t="n"/>
      <c r="G354" s="30">
        <f>IF(A354="","",MONTH(A354))</f>
        <v/>
      </c>
    </row>
    <row r="355">
      <c r="A355" s="29" t="n"/>
      <c r="B355" s="30" t="n"/>
      <c r="C355" s="30" t="n"/>
      <c r="D355" s="30" t="n"/>
      <c r="E355" s="31" t="n"/>
      <c r="F355" s="30" t="n"/>
      <c r="G355" s="30">
        <f>IF(A355="","",MONTH(A355))</f>
        <v/>
      </c>
    </row>
    <row r="356">
      <c r="A356" s="29" t="n"/>
      <c r="B356" s="30" t="n"/>
      <c r="C356" s="30" t="n"/>
      <c r="D356" s="30" t="n"/>
      <c r="E356" s="31" t="n"/>
      <c r="F356" s="30" t="n"/>
      <c r="G356" s="30">
        <f>IF(A356="","",MONTH(A356))</f>
        <v/>
      </c>
    </row>
    <row r="357">
      <c r="A357" s="29" t="n"/>
      <c r="B357" s="30" t="n"/>
      <c r="C357" s="30" t="n"/>
      <c r="D357" s="30" t="n"/>
      <c r="E357" s="31" t="n"/>
      <c r="F357" s="30" t="n"/>
      <c r="G357" s="30">
        <f>IF(A357="","",MONTH(A357))</f>
        <v/>
      </c>
    </row>
    <row r="358">
      <c r="A358" s="29" t="n"/>
      <c r="B358" s="30" t="n"/>
      <c r="C358" s="30" t="n"/>
      <c r="D358" s="30" t="n"/>
      <c r="E358" s="31" t="n"/>
      <c r="F358" s="30" t="n"/>
      <c r="G358" s="30">
        <f>IF(A358="","",MONTH(A358))</f>
        <v/>
      </c>
    </row>
    <row r="359">
      <c r="A359" s="29" t="n"/>
      <c r="B359" s="30" t="n"/>
      <c r="C359" s="30" t="n"/>
      <c r="D359" s="30" t="n"/>
      <c r="E359" s="31" t="n"/>
      <c r="F359" s="30" t="n"/>
      <c r="G359" s="30">
        <f>IF(A359="","",MONTH(A359))</f>
        <v/>
      </c>
    </row>
    <row r="360">
      <c r="A360" s="29" t="n"/>
      <c r="B360" s="30" t="n"/>
      <c r="C360" s="30" t="n"/>
      <c r="D360" s="30" t="n"/>
      <c r="E360" s="31" t="n"/>
      <c r="F360" s="30" t="n"/>
      <c r="G360" s="30">
        <f>IF(A360="","",MONTH(A360))</f>
        <v/>
      </c>
    </row>
    <row r="361">
      <c r="A361" s="29" t="n"/>
      <c r="B361" s="30" t="n"/>
      <c r="C361" s="30" t="n"/>
      <c r="D361" s="30" t="n"/>
      <c r="E361" s="31" t="n"/>
      <c r="F361" s="30" t="n"/>
      <c r="G361" s="30">
        <f>IF(A361="","",MONTH(A361))</f>
        <v/>
      </c>
    </row>
    <row r="362">
      <c r="A362" s="29" t="n"/>
      <c r="B362" s="30" t="n"/>
      <c r="C362" s="30" t="n"/>
      <c r="D362" s="30" t="n"/>
      <c r="E362" s="31" t="n"/>
      <c r="F362" s="30" t="n"/>
      <c r="G362" s="30">
        <f>IF(A362="","",MONTH(A362))</f>
        <v/>
      </c>
    </row>
    <row r="363">
      <c r="A363" s="29" t="n"/>
      <c r="B363" s="30" t="n"/>
      <c r="C363" s="30" t="n"/>
      <c r="D363" s="30" t="n"/>
      <c r="E363" s="31" t="n"/>
      <c r="F363" s="30" t="n"/>
      <c r="G363" s="30">
        <f>IF(A363="","",MONTH(A363))</f>
        <v/>
      </c>
    </row>
    <row r="364">
      <c r="A364" s="29" t="n"/>
      <c r="B364" s="30" t="n"/>
      <c r="C364" s="30" t="n"/>
      <c r="D364" s="30" t="n"/>
      <c r="E364" s="31" t="n"/>
      <c r="F364" s="30" t="n"/>
      <c r="G364" s="30">
        <f>IF(A364="","",MONTH(A364))</f>
        <v/>
      </c>
    </row>
    <row r="365">
      <c r="A365" s="29" t="n"/>
      <c r="B365" s="30" t="n"/>
      <c r="C365" s="30" t="n"/>
      <c r="D365" s="30" t="n"/>
      <c r="E365" s="31" t="n"/>
      <c r="F365" s="30" t="n"/>
      <c r="G365" s="30">
        <f>IF(A365="","",MONTH(A365))</f>
        <v/>
      </c>
    </row>
    <row r="366">
      <c r="A366" s="29" t="n"/>
      <c r="B366" s="30" t="n"/>
      <c r="C366" s="30" t="n"/>
      <c r="D366" s="30" t="n"/>
      <c r="E366" s="31" t="n"/>
      <c r="F366" s="30" t="n"/>
      <c r="G366" s="30">
        <f>IF(A366="","",MONTH(A366))</f>
        <v/>
      </c>
    </row>
    <row r="367">
      <c r="A367" s="29" t="n"/>
      <c r="B367" s="30" t="n"/>
      <c r="C367" s="30" t="n"/>
      <c r="D367" s="30" t="n"/>
      <c r="E367" s="31" t="n"/>
      <c r="F367" s="30" t="n"/>
      <c r="G367" s="30">
        <f>IF(A367="","",MONTH(A367))</f>
        <v/>
      </c>
    </row>
    <row r="368">
      <c r="A368" s="29" t="n"/>
      <c r="B368" s="30" t="n"/>
      <c r="C368" s="30" t="n"/>
      <c r="D368" s="30" t="n"/>
      <c r="E368" s="31" t="n"/>
      <c r="F368" s="30" t="n"/>
      <c r="G368" s="30">
        <f>IF(A368="","",MONTH(A368))</f>
        <v/>
      </c>
    </row>
    <row r="369">
      <c r="A369" s="29" t="n"/>
      <c r="B369" s="30" t="n"/>
      <c r="C369" s="30" t="n"/>
      <c r="D369" s="30" t="n"/>
      <c r="E369" s="31" t="n"/>
      <c r="F369" s="30" t="n"/>
      <c r="G369" s="30">
        <f>IF(A369="","",MONTH(A369))</f>
        <v/>
      </c>
    </row>
    <row r="370">
      <c r="A370" s="29" t="n"/>
      <c r="B370" s="30" t="n"/>
      <c r="C370" s="30" t="n"/>
      <c r="D370" s="30" t="n"/>
      <c r="E370" s="31" t="n"/>
      <c r="F370" s="30" t="n"/>
      <c r="G370" s="30">
        <f>IF(A370="","",MONTH(A370))</f>
        <v/>
      </c>
    </row>
    <row r="371">
      <c r="A371" s="29" t="n"/>
      <c r="B371" s="30" t="n"/>
      <c r="C371" s="30" t="n"/>
      <c r="D371" s="30" t="n"/>
      <c r="E371" s="31" t="n"/>
      <c r="F371" s="30" t="n"/>
      <c r="G371" s="30">
        <f>IF(A371="","",MONTH(A371))</f>
        <v/>
      </c>
    </row>
    <row r="372">
      <c r="A372" s="29" t="n"/>
      <c r="B372" s="30" t="n"/>
      <c r="C372" s="30" t="n"/>
      <c r="D372" s="30" t="n"/>
      <c r="E372" s="31" t="n"/>
      <c r="F372" s="30" t="n"/>
      <c r="G372" s="30">
        <f>IF(A372="","",MONTH(A372))</f>
        <v/>
      </c>
    </row>
    <row r="373">
      <c r="A373" s="29" t="n"/>
      <c r="B373" s="30" t="n"/>
      <c r="C373" s="30" t="n"/>
      <c r="D373" s="30" t="n"/>
      <c r="E373" s="31" t="n"/>
      <c r="F373" s="30" t="n"/>
      <c r="G373" s="30">
        <f>IF(A373="","",MONTH(A373))</f>
        <v/>
      </c>
    </row>
    <row r="374">
      <c r="A374" s="29" t="n"/>
      <c r="B374" s="30" t="n"/>
      <c r="C374" s="30" t="n"/>
      <c r="D374" s="30" t="n"/>
      <c r="E374" s="31" t="n"/>
      <c r="F374" s="30" t="n"/>
      <c r="G374" s="30">
        <f>IF(A374="","",MONTH(A374))</f>
        <v/>
      </c>
    </row>
    <row r="375">
      <c r="A375" s="29" t="n"/>
      <c r="B375" s="30" t="n"/>
      <c r="C375" s="30" t="n"/>
      <c r="D375" s="30" t="n"/>
      <c r="E375" s="31" t="n"/>
      <c r="F375" s="30" t="n"/>
      <c r="G375" s="30">
        <f>IF(A375="","",MONTH(A375))</f>
        <v/>
      </c>
    </row>
    <row r="376">
      <c r="A376" s="29" t="n"/>
      <c r="B376" s="30" t="n"/>
      <c r="C376" s="30" t="n"/>
      <c r="D376" s="30" t="n"/>
      <c r="E376" s="31" t="n"/>
      <c r="F376" s="30" t="n"/>
      <c r="G376" s="30">
        <f>IF(A376="","",MONTH(A376))</f>
        <v/>
      </c>
    </row>
    <row r="377">
      <c r="A377" s="29" t="n"/>
      <c r="B377" s="30" t="n"/>
      <c r="C377" s="30" t="n"/>
      <c r="D377" s="30" t="n"/>
      <c r="E377" s="31" t="n"/>
      <c r="F377" s="30" t="n"/>
      <c r="G377" s="30">
        <f>IF(A377="","",MONTH(A377))</f>
        <v/>
      </c>
    </row>
    <row r="378">
      <c r="A378" s="29" t="n"/>
      <c r="B378" s="30" t="n"/>
      <c r="C378" s="30" t="n"/>
      <c r="D378" s="30" t="n"/>
      <c r="E378" s="31" t="n"/>
      <c r="F378" s="30" t="n"/>
      <c r="G378" s="30">
        <f>IF(A378="","",MONTH(A378))</f>
        <v/>
      </c>
    </row>
    <row r="379">
      <c r="A379" s="29" t="n"/>
      <c r="B379" s="30" t="n"/>
      <c r="C379" s="30" t="n"/>
      <c r="D379" s="30" t="n"/>
      <c r="E379" s="31" t="n"/>
      <c r="F379" s="30" t="n"/>
      <c r="G379" s="30">
        <f>IF(A379="","",MONTH(A379))</f>
        <v/>
      </c>
    </row>
    <row r="380">
      <c r="A380" s="29" t="n"/>
      <c r="B380" s="30" t="n"/>
      <c r="C380" s="30" t="n"/>
      <c r="D380" s="30" t="n"/>
      <c r="E380" s="31" t="n"/>
      <c r="F380" s="30" t="n"/>
      <c r="G380" s="30">
        <f>IF(A380="","",MONTH(A380))</f>
        <v/>
      </c>
    </row>
    <row r="381">
      <c r="A381" s="29" t="n"/>
      <c r="B381" s="30" t="n"/>
      <c r="C381" s="30" t="n"/>
      <c r="D381" s="30" t="n"/>
      <c r="E381" s="31" t="n"/>
      <c r="F381" s="30" t="n"/>
      <c r="G381" s="30">
        <f>IF(A381="","",MONTH(A381))</f>
        <v/>
      </c>
    </row>
    <row r="382">
      <c r="A382" s="29" t="n"/>
      <c r="B382" s="30" t="n"/>
      <c r="C382" s="30" t="n"/>
      <c r="D382" s="30" t="n"/>
      <c r="E382" s="31" t="n"/>
      <c r="F382" s="30" t="n"/>
      <c r="G382" s="30">
        <f>IF(A382="","",MONTH(A382))</f>
        <v/>
      </c>
    </row>
    <row r="383">
      <c r="A383" s="29" t="n"/>
      <c r="B383" s="30" t="n"/>
      <c r="C383" s="30" t="n"/>
      <c r="D383" s="30" t="n"/>
      <c r="E383" s="31" t="n"/>
      <c r="F383" s="30" t="n"/>
      <c r="G383" s="30">
        <f>IF(A383="","",MONTH(A383))</f>
        <v/>
      </c>
    </row>
    <row r="384">
      <c r="A384" s="29" t="n"/>
      <c r="B384" s="30" t="n"/>
      <c r="C384" s="30" t="n"/>
      <c r="D384" s="30" t="n"/>
      <c r="E384" s="31" t="n"/>
      <c r="F384" s="30" t="n"/>
      <c r="G384" s="30">
        <f>IF(A384="","",MONTH(A384))</f>
        <v/>
      </c>
    </row>
    <row r="385">
      <c r="A385" s="29" t="n"/>
      <c r="B385" s="30" t="n"/>
      <c r="C385" s="30" t="n"/>
      <c r="D385" s="30" t="n"/>
      <c r="E385" s="31" t="n"/>
      <c r="F385" s="30" t="n"/>
      <c r="G385" s="30">
        <f>IF(A385="","",MONTH(A385))</f>
        <v/>
      </c>
    </row>
    <row r="386">
      <c r="A386" s="29" t="n"/>
      <c r="B386" s="30" t="n"/>
      <c r="C386" s="30" t="n"/>
      <c r="D386" s="30" t="n"/>
      <c r="E386" s="31" t="n"/>
      <c r="F386" s="30" t="n"/>
      <c r="G386" s="30">
        <f>IF(A386="","",MONTH(A386))</f>
        <v/>
      </c>
    </row>
    <row r="387">
      <c r="A387" s="29" t="n"/>
      <c r="B387" s="30" t="n"/>
      <c r="C387" s="30" t="n"/>
      <c r="D387" s="30" t="n"/>
      <c r="E387" s="31" t="n"/>
      <c r="F387" s="30" t="n"/>
      <c r="G387" s="30">
        <f>IF(A387="","",MONTH(A387))</f>
        <v/>
      </c>
    </row>
    <row r="388">
      <c r="A388" s="29" t="n"/>
      <c r="B388" s="30" t="n"/>
      <c r="C388" s="30" t="n"/>
      <c r="D388" s="30" t="n"/>
      <c r="E388" s="31" t="n"/>
      <c r="F388" s="30" t="n"/>
      <c r="G388" s="30">
        <f>IF(A388="","",MONTH(A388))</f>
        <v/>
      </c>
    </row>
    <row r="389">
      <c r="A389" s="29" t="n"/>
      <c r="B389" s="30" t="n"/>
      <c r="C389" s="30" t="n"/>
      <c r="D389" s="30" t="n"/>
      <c r="E389" s="31" t="n"/>
      <c r="F389" s="30" t="n"/>
      <c r="G389" s="30">
        <f>IF(A389="","",MONTH(A389))</f>
        <v/>
      </c>
    </row>
    <row r="390">
      <c r="A390" s="29" t="n"/>
      <c r="B390" s="30" t="n"/>
      <c r="C390" s="30" t="n"/>
      <c r="D390" s="30" t="n"/>
      <c r="E390" s="31" t="n"/>
      <c r="F390" s="30" t="n"/>
      <c r="G390" s="30">
        <f>IF(A390="","",MONTH(A390))</f>
        <v/>
      </c>
    </row>
    <row r="391">
      <c r="A391" s="29" t="n"/>
      <c r="B391" s="30" t="n"/>
      <c r="C391" s="30" t="n"/>
      <c r="D391" s="30" t="n"/>
      <c r="E391" s="31" t="n"/>
      <c r="F391" s="30" t="n"/>
      <c r="G391" s="30">
        <f>IF(A391="","",MONTH(A391))</f>
        <v/>
      </c>
    </row>
    <row r="392">
      <c r="A392" s="29" t="n"/>
      <c r="B392" s="30" t="n"/>
      <c r="C392" s="30" t="n"/>
      <c r="D392" s="30" t="n"/>
      <c r="E392" s="31" t="n"/>
      <c r="F392" s="30" t="n"/>
      <c r="G392" s="30">
        <f>IF(A392="","",MONTH(A392))</f>
        <v/>
      </c>
    </row>
    <row r="393">
      <c r="A393" s="29" t="n"/>
      <c r="B393" s="30" t="n"/>
      <c r="C393" s="30" t="n"/>
      <c r="D393" s="30" t="n"/>
      <c r="E393" s="31" t="n"/>
      <c r="F393" s="30" t="n"/>
      <c r="G393" s="30">
        <f>IF(A393="","",MONTH(A393))</f>
        <v/>
      </c>
    </row>
    <row r="394">
      <c r="A394" s="29" t="n"/>
      <c r="B394" s="30" t="n"/>
      <c r="C394" s="30" t="n"/>
      <c r="D394" s="30" t="n"/>
      <c r="E394" s="31" t="n"/>
      <c r="F394" s="30" t="n"/>
      <c r="G394" s="30">
        <f>IF(A394="","",MONTH(A394))</f>
        <v/>
      </c>
    </row>
    <row r="395">
      <c r="A395" s="29" t="n"/>
      <c r="B395" s="30" t="n"/>
      <c r="C395" s="30" t="n"/>
      <c r="D395" s="30" t="n"/>
      <c r="E395" s="31" t="n"/>
      <c r="F395" s="30" t="n"/>
      <c r="G395" s="30">
        <f>IF(A395="","",MONTH(A395))</f>
        <v/>
      </c>
    </row>
    <row r="396">
      <c r="A396" s="29" t="n"/>
      <c r="B396" s="30" t="n"/>
      <c r="C396" s="30" t="n"/>
      <c r="D396" s="30" t="n"/>
      <c r="E396" s="31" t="n"/>
      <c r="F396" s="30" t="n"/>
      <c r="G396" s="30">
        <f>IF(A396="","",MONTH(A396))</f>
        <v/>
      </c>
    </row>
    <row r="397">
      <c r="A397" s="29" t="n"/>
      <c r="B397" s="30" t="n"/>
      <c r="C397" s="30" t="n"/>
      <c r="D397" s="30" t="n"/>
      <c r="E397" s="31" t="n"/>
      <c r="F397" s="30" t="n"/>
      <c r="G397" s="30">
        <f>IF(A397="","",MONTH(A397))</f>
        <v/>
      </c>
    </row>
    <row r="398">
      <c r="A398" s="29" t="n"/>
      <c r="B398" s="30" t="n"/>
      <c r="C398" s="30" t="n"/>
      <c r="D398" s="30" t="n"/>
      <c r="E398" s="31" t="n"/>
      <c r="F398" s="30" t="n"/>
      <c r="G398" s="30">
        <f>IF(A398="","",MONTH(A398))</f>
        <v/>
      </c>
    </row>
    <row r="399">
      <c r="A399" s="29" t="n"/>
      <c r="B399" s="30" t="n"/>
      <c r="C399" s="30" t="n"/>
      <c r="D399" s="30" t="n"/>
      <c r="E399" s="31" t="n"/>
      <c r="F399" s="30" t="n"/>
      <c r="G399" s="30">
        <f>IF(A399="","",MONTH(A399))</f>
        <v/>
      </c>
    </row>
    <row r="400">
      <c r="A400" s="29" t="n"/>
      <c r="B400" s="30" t="n"/>
      <c r="C400" s="30" t="n"/>
      <c r="D400" s="30" t="n"/>
      <c r="E400" s="31" t="n"/>
      <c r="F400" s="30" t="n"/>
      <c r="G400" s="30">
        <f>IF(A400="","",MONTH(A400))</f>
        <v/>
      </c>
    </row>
    <row r="401">
      <c r="A401" s="29" t="n"/>
      <c r="B401" s="30" t="n"/>
      <c r="C401" s="30" t="n"/>
      <c r="D401" s="30" t="n"/>
      <c r="E401" s="31" t="n"/>
      <c r="F401" s="30" t="n"/>
      <c r="G401" s="30">
        <f>IF(A401="","",MONTH(A401))</f>
        <v/>
      </c>
    </row>
    <row r="402">
      <c r="A402" s="29" t="n"/>
      <c r="B402" s="30" t="n"/>
      <c r="C402" s="30" t="n"/>
      <c r="D402" s="30" t="n"/>
      <c r="E402" s="31" t="n"/>
      <c r="F402" s="30" t="n"/>
      <c r="G402" s="30">
        <f>IF(A402="","",MONTH(A402))</f>
        <v/>
      </c>
    </row>
    <row r="403">
      <c r="A403" s="29" t="n"/>
      <c r="B403" s="30" t="n"/>
      <c r="C403" s="30" t="n"/>
      <c r="D403" s="30" t="n"/>
      <c r="E403" s="31" t="n"/>
      <c r="F403" s="30" t="n"/>
      <c r="G403" s="30">
        <f>IF(A403="","",MONTH(A403))</f>
        <v/>
      </c>
    </row>
    <row r="404">
      <c r="A404" s="29" t="n"/>
      <c r="B404" s="30" t="n"/>
      <c r="C404" s="30" t="n"/>
      <c r="D404" s="30" t="n"/>
      <c r="E404" s="31" t="n"/>
      <c r="F404" s="30" t="n"/>
      <c r="G404" s="30">
        <f>IF(A404="","",MONTH(A404))</f>
        <v/>
      </c>
    </row>
    <row r="405">
      <c r="A405" s="29" t="n"/>
      <c r="B405" s="30" t="n"/>
      <c r="C405" s="30" t="n"/>
      <c r="D405" s="30" t="n"/>
      <c r="E405" s="31" t="n"/>
      <c r="F405" s="30" t="n"/>
      <c r="G405" s="30">
        <f>IF(A405="","",MONTH(A405))</f>
        <v/>
      </c>
    </row>
    <row r="406">
      <c r="A406" s="29" t="n"/>
      <c r="B406" s="30" t="n"/>
      <c r="C406" s="30" t="n"/>
      <c r="D406" s="30" t="n"/>
      <c r="E406" s="31" t="n"/>
      <c r="F406" s="30" t="n"/>
      <c r="G406" s="30">
        <f>IF(A406="","",MONTH(A406))</f>
        <v/>
      </c>
    </row>
    <row r="407">
      <c r="A407" s="29" t="n"/>
      <c r="B407" s="30" t="n"/>
      <c r="C407" s="30" t="n"/>
      <c r="D407" s="30" t="n"/>
      <c r="E407" s="31" t="n"/>
      <c r="F407" s="30" t="n"/>
      <c r="G407" s="30">
        <f>IF(A407="","",MONTH(A407))</f>
        <v/>
      </c>
    </row>
    <row r="408">
      <c r="A408" s="29" t="n"/>
      <c r="B408" s="30" t="n"/>
      <c r="C408" s="30" t="n"/>
      <c r="D408" s="30" t="n"/>
      <c r="E408" s="31" t="n"/>
      <c r="F408" s="30" t="n"/>
      <c r="G408" s="30">
        <f>IF(A408="","",MONTH(A408))</f>
        <v/>
      </c>
    </row>
    <row r="409">
      <c r="A409" s="29" t="n"/>
      <c r="B409" s="30" t="n"/>
      <c r="C409" s="30" t="n"/>
      <c r="D409" s="30" t="n"/>
      <c r="E409" s="31" t="n"/>
      <c r="F409" s="30" t="n"/>
      <c r="G409" s="30">
        <f>IF(A409="","",MONTH(A409))</f>
        <v/>
      </c>
    </row>
    <row r="410">
      <c r="A410" s="29" t="n"/>
      <c r="B410" s="30" t="n"/>
      <c r="C410" s="30" t="n"/>
      <c r="D410" s="30" t="n"/>
      <c r="E410" s="31" t="n"/>
      <c r="F410" s="30" t="n"/>
      <c r="G410" s="30">
        <f>IF(A410="","",MONTH(A410))</f>
        <v/>
      </c>
    </row>
    <row r="411">
      <c r="A411" s="29" t="n"/>
      <c r="B411" s="30" t="n"/>
      <c r="C411" s="30" t="n"/>
      <c r="D411" s="30" t="n"/>
      <c r="E411" s="31" t="n"/>
      <c r="F411" s="30" t="n"/>
      <c r="G411" s="30">
        <f>IF(A411="","",MONTH(A411))</f>
        <v/>
      </c>
    </row>
    <row r="412">
      <c r="A412" s="29" t="n"/>
      <c r="B412" s="30" t="n"/>
      <c r="C412" s="30" t="n"/>
      <c r="D412" s="30" t="n"/>
      <c r="E412" s="31" t="n"/>
      <c r="F412" s="30" t="n"/>
      <c r="G412" s="30">
        <f>IF(A412="","",MONTH(A412))</f>
        <v/>
      </c>
    </row>
    <row r="413">
      <c r="A413" s="29" t="n"/>
      <c r="B413" s="30" t="n"/>
      <c r="C413" s="30" t="n"/>
      <c r="D413" s="30" t="n"/>
      <c r="E413" s="31" t="n"/>
      <c r="F413" s="30" t="n"/>
      <c r="G413" s="30">
        <f>IF(A413="","",MONTH(A413))</f>
        <v/>
      </c>
    </row>
    <row r="414">
      <c r="A414" s="29" t="n"/>
      <c r="B414" s="30" t="n"/>
      <c r="C414" s="30" t="n"/>
      <c r="D414" s="30" t="n"/>
      <c r="E414" s="31" t="n"/>
      <c r="F414" s="30" t="n"/>
      <c r="G414" s="30">
        <f>IF(A414="","",MONTH(A414))</f>
        <v/>
      </c>
    </row>
    <row r="415">
      <c r="A415" s="29" t="n"/>
      <c r="B415" s="30" t="n"/>
      <c r="C415" s="30" t="n"/>
      <c r="D415" s="30" t="n"/>
      <c r="E415" s="31" t="n"/>
      <c r="F415" s="30" t="n"/>
      <c r="G415" s="30">
        <f>IF(A415="","",MONTH(A415))</f>
        <v/>
      </c>
    </row>
    <row r="416">
      <c r="A416" s="29" t="n"/>
      <c r="B416" s="30" t="n"/>
      <c r="C416" s="30" t="n"/>
      <c r="D416" s="30" t="n"/>
      <c r="E416" s="31" t="n"/>
      <c r="F416" s="30" t="n"/>
      <c r="G416" s="30">
        <f>IF(A416="","",MONTH(A416))</f>
        <v/>
      </c>
    </row>
    <row r="417">
      <c r="A417" s="29" t="n"/>
      <c r="B417" s="30" t="n"/>
      <c r="C417" s="30" t="n"/>
      <c r="D417" s="30" t="n"/>
      <c r="E417" s="31" t="n"/>
      <c r="F417" s="30" t="n"/>
      <c r="G417" s="30">
        <f>IF(A417="","",MONTH(A417))</f>
        <v/>
      </c>
    </row>
    <row r="418">
      <c r="A418" s="29" t="n"/>
      <c r="B418" s="30" t="n"/>
      <c r="C418" s="30" t="n"/>
      <c r="D418" s="30" t="n"/>
      <c r="E418" s="31" t="n"/>
      <c r="F418" s="30" t="n"/>
      <c r="G418" s="30">
        <f>IF(A418="","",MONTH(A418))</f>
        <v/>
      </c>
    </row>
    <row r="419">
      <c r="A419" s="29" t="n"/>
      <c r="B419" s="30" t="n"/>
      <c r="C419" s="30" t="n"/>
      <c r="D419" s="30" t="n"/>
      <c r="E419" s="31" t="n"/>
      <c r="F419" s="30" t="n"/>
      <c r="G419" s="30">
        <f>IF(A419="","",MONTH(A419))</f>
        <v/>
      </c>
    </row>
    <row r="420">
      <c r="A420" s="29" t="n"/>
      <c r="B420" s="30" t="n"/>
      <c r="C420" s="30" t="n"/>
      <c r="D420" s="30" t="n"/>
      <c r="E420" s="31" t="n"/>
      <c r="F420" s="30" t="n"/>
      <c r="G420" s="30">
        <f>IF(A420="","",MONTH(A420))</f>
        <v/>
      </c>
    </row>
    <row r="421">
      <c r="A421" s="29" t="n"/>
      <c r="B421" s="30" t="n"/>
      <c r="C421" s="30" t="n"/>
      <c r="D421" s="30" t="n"/>
      <c r="E421" s="31" t="n"/>
      <c r="F421" s="30" t="n"/>
      <c r="G421" s="30">
        <f>IF(A421="","",MONTH(A421))</f>
        <v/>
      </c>
    </row>
    <row r="422">
      <c r="A422" s="29" t="n"/>
      <c r="B422" s="30" t="n"/>
      <c r="C422" s="30" t="n"/>
      <c r="D422" s="30" t="n"/>
      <c r="E422" s="31" t="n"/>
      <c r="F422" s="30" t="n"/>
      <c r="G422" s="30">
        <f>IF(A422="","",MONTH(A422))</f>
        <v/>
      </c>
    </row>
    <row r="423">
      <c r="A423" s="29" t="n"/>
      <c r="B423" s="30" t="n"/>
      <c r="C423" s="30" t="n"/>
      <c r="D423" s="30" t="n"/>
      <c r="E423" s="31" t="n"/>
      <c r="F423" s="30" t="n"/>
      <c r="G423" s="30">
        <f>IF(A423="","",MONTH(A423))</f>
        <v/>
      </c>
    </row>
    <row r="424">
      <c r="A424" s="29" t="n"/>
      <c r="B424" s="30" t="n"/>
      <c r="C424" s="30" t="n"/>
      <c r="D424" s="30" t="n"/>
      <c r="E424" s="31" t="n"/>
      <c r="F424" s="30" t="n"/>
      <c r="G424" s="30">
        <f>IF(A424="","",MONTH(A424))</f>
        <v/>
      </c>
    </row>
    <row r="425">
      <c r="A425" s="29" t="n"/>
      <c r="B425" s="30" t="n"/>
      <c r="C425" s="30" t="n"/>
      <c r="D425" s="30" t="n"/>
      <c r="E425" s="31" t="n"/>
      <c r="F425" s="30" t="n"/>
      <c r="G425" s="30">
        <f>IF(A425="","",MONTH(A425))</f>
        <v/>
      </c>
    </row>
    <row r="426">
      <c r="A426" s="29" t="n"/>
      <c r="B426" s="30" t="n"/>
      <c r="C426" s="30" t="n"/>
      <c r="D426" s="30" t="n"/>
      <c r="E426" s="31" t="n"/>
      <c r="F426" s="30" t="n"/>
      <c r="G426" s="30">
        <f>IF(A426="","",MONTH(A426))</f>
        <v/>
      </c>
    </row>
    <row r="427">
      <c r="A427" s="29" t="n"/>
      <c r="B427" s="30" t="n"/>
      <c r="C427" s="30" t="n"/>
      <c r="D427" s="30" t="n"/>
      <c r="E427" s="31" t="n"/>
      <c r="F427" s="30" t="n"/>
      <c r="G427" s="30">
        <f>IF(A427="","",MONTH(A427))</f>
        <v/>
      </c>
    </row>
    <row r="428">
      <c r="A428" s="29" t="n"/>
      <c r="B428" s="30" t="n"/>
      <c r="C428" s="30" t="n"/>
      <c r="D428" s="30" t="n"/>
      <c r="E428" s="31" t="n"/>
      <c r="F428" s="30" t="n"/>
      <c r="G428" s="30">
        <f>IF(A428="","",MONTH(A428))</f>
        <v/>
      </c>
    </row>
    <row r="429">
      <c r="A429" s="29" t="n"/>
      <c r="B429" s="30" t="n"/>
      <c r="C429" s="30" t="n"/>
      <c r="D429" s="30" t="n"/>
      <c r="E429" s="31" t="n"/>
      <c r="F429" s="30" t="n"/>
      <c r="G429" s="30">
        <f>IF(A429="","",MONTH(A429))</f>
        <v/>
      </c>
    </row>
    <row r="430">
      <c r="A430" s="29" t="n"/>
      <c r="B430" s="30" t="n"/>
      <c r="C430" s="30" t="n"/>
      <c r="D430" s="30" t="n"/>
      <c r="E430" s="31" t="n"/>
      <c r="F430" s="30" t="n"/>
      <c r="G430" s="30">
        <f>IF(A430="","",MONTH(A430))</f>
        <v/>
      </c>
    </row>
    <row r="431">
      <c r="A431" s="29" t="n"/>
      <c r="B431" s="30" t="n"/>
      <c r="C431" s="30" t="n"/>
      <c r="D431" s="30" t="n"/>
      <c r="E431" s="31" t="n"/>
      <c r="F431" s="30" t="n"/>
      <c r="G431" s="30">
        <f>IF(A431="","",MONTH(A431))</f>
        <v/>
      </c>
    </row>
    <row r="432">
      <c r="A432" s="29" t="n"/>
      <c r="B432" s="30" t="n"/>
      <c r="C432" s="30" t="n"/>
      <c r="D432" s="30" t="n"/>
      <c r="E432" s="31" t="n"/>
      <c r="F432" s="30" t="n"/>
      <c r="G432" s="30">
        <f>IF(A432="","",MONTH(A432))</f>
        <v/>
      </c>
    </row>
    <row r="433">
      <c r="A433" s="29" t="n"/>
      <c r="B433" s="30" t="n"/>
      <c r="C433" s="30" t="n"/>
      <c r="D433" s="30" t="n"/>
      <c r="E433" s="31" t="n"/>
      <c r="F433" s="30" t="n"/>
      <c r="G433" s="30">
        <f>IF(A433="","",MONTH(A433))</f>
        <v/>
      </c>
    </row>
    <row r="434">
      <c r="A434" s="29" t="n"/>
      <c r="B434" s="30" t="n"/>
      <c r="C434" s="30" t="n"/>
      <c r="D434" s="30" t="n"/>
      <c r="E434" s="31" t="n"/>
      <c r="F434" s="30" t="n"/>
      <c r="G434" s="30">
        <f>IF(A434="","",MONTH(A434))</f>
        <v/>
      </c>
    </row>
    <row r="435">
      <c r="A435" s="29" t="n"/>
      <c r="B435" s="30" t="n"/>
      <c r="C435" s="30" t="n"/>
      <c r="D435" s="30" t="n"/>
      <c r="E435" s="31" t="n"/>
      <c r="F435" s="30" t="n"/>
      <c r="G435" s="30">
        <f>IF(A435="","",MONTH(A435))</f>
        <v/>
      </c>
    </row>
    <row r="436">
      <c r="A436" s="29" t="n"/>
      <c r="B436" s="30" t="n"/>
      <c r="C436" s="30" t="n"/>
      <c r="D436" s="30" t="n"/>
      <c r="E436" s="31" t="n"/>
      <c r="F436" s="30" t="n"/>
      <c r="G436" s="30">
        <f>IF(A436="","",MONTH(A436))</f>
        <v/>
      </c>
    </row>
    <row r="437">
      <c r="A437" s="29" t="n"/>
      <c r="B437" s="30" t="n"/>
      <c r="C437" s="30" t="n"/>
      <c r="D437" s="30" t="n"/>
      <c r="E437" s="31" t="n"/>
      <c r="F437" s="30" t="n"/>
      <c r="G437" s="30">
        <f>IF(A437="","",MONTH(A437))</f>
        <v/>
      </c>
    </row>
    <row r="438">
      <c r="A438" s="29" t="n"/>
      <c r="B438" s="30" t="n"/>
      <c r="C438" s="30" t="n"/>
      <c r="D438" s="30" t="n"/>
      <c r="E438" s="31" t="n"/>
      <c r="F438" s="30" t="n"/>
      <c r="G438" s="30">
        <f>IF(A438="","",MONTH(A438))</f>
        <v/>
      </c>
    </row>
    <row r="439">
      <c r="A439" s="29" t="n"/>
      <c r="B439" s="30" t="n"/>
      <c r="C439" s="30" t="n"/>
      <c r="D439" s="30" t="n"/>
      <c r="E439" s="31" t="n"/>
      <c r="F439" s="30" t="n"/>
      <c r="G439" s="30">
        <f>IF(A439="","",MONTH(A439))</f>
        <v/>
      </c>
    </row>
    <row r="440">
      <c r="A440" s="29" t="n"/>
      <c r="B440" s="30" t="n"/>
      <c r="C440" s="30" t="n"/>
      <c r="D440" s="30" t="n"/>
      <c r="E440" s="31" t="n"/>
      <c r="F440" s="30" t="n"/>
      <c r="G440" s="30">
        <f>IF(A440="","",MONTH(A440))</f>
        <v/>
      </c>
    </row>
    <row r="441">
      <c r="A441" s="29" t="n"/>
      <c r="B441" s="30" t="n"/>
      <c r="C441" s="30" t="n"/>
      <c r="D441" s="30" t="n"/>
      <c r="E441" s="31" t="n"/>
      <c r="F441" s="30" t="n"/>
      <c r="G441" s="30">
        <f>IF(A441="","",MONTH(A441))</f>
        <v/>
      </c>
    </row>
    <row r="442">
      <c r="A442" s="29" t="n"/>
      <c r="B442" s="30" t="n"/>
      <c r="C442" s="30" t="n"/>
      <c r="D442" s="30" t="n"/>
      <c r="E442" s="31" t="n"/>
      <c r="F442" s="30" t="n"/>
      <c r="G442" s="30">
        <f>IF(A442="","",MONTH(A442))</f>
        <v/>
      </c>
    </row>
    <row r="443">
      <c r="A443" s="29" t="n"/>
      <c r="B443" s="30" t="n"/>
      <c r="C443" s="30" t="n"/>
      <c r="D443" s="30" t="n"/>
      <c r="E443" s="31" t="n"/>
      <c r="F443" s="30" t="n"/>
      <c r="G443" s="30">
        <f>IF(A443="","",MONTH(A443))</f>
        <v/>
      </c>
    </row>
    <row r="444">
      <c r="A444" s="29" t="n"/>
      <c r="B444" s="30" t="n"/>
      <c r="C444" s="30" t="n"/>
      <c r="D444" s="30" t="n"/>
      <c r="E444" s="31" t="n"/>
      <c r="F444" s="30" t="n"/>
      <c r="G444" s="30">
        <f>IF(A444="","",MONTH(A444))</f>
        <v/>
      </c>
    </row>
    <row r="445">
      <c r="A445" s="29" t="n"/>
      <c r="B445" s="30" t="n"/>
      <c r="C445" s="30" t="n"/>
      <c r="D445" s="30" t="n"/>
      <c r="E445" s="31" t="n"/>
      <c r="F445" s="30" t="n"/>
      <c r="G445" s="30">
        <f>IF(A445="","",MONTH(A445))</f>
        <v/>
      </c>
    </row>
    <row r="446">
      <c r="A446" s="29" t="n"/>
      <c r="B446" s="30" t="n"/>
      <c r="C446" s="30" t="n"/>
      <c r="D446" s="30" t="n"/>
      <c r="E446" s="31" t="n"/>
      <c r="F446" s="30" t="n"/>
      <c r="G446" s="30">
        <f>IF(A446="","",MONTH(A446))</f>
        <v/>
      </c>
    </row>
    <row r="447">
      <c r="A447" s="29" t="n"/>
      <c r="B447" s="30" t="n"/>
      <c r="C447" s="30" t="n"/>
      <c r="D447" s="30" t="n"/>
      <c r="E447" s="31" t="n"/>
      <c r="F447" s="30" t="n"/>
      <c r="G447" s="30">
        <f>IF(A447="","",MONTH(A447))</f>
        <v/>
      </c>
    </row>
    <row r="448">
      <c r="A448" s="29" t="n"/>
      <c r="B448" s="30" t="n"/>
      <c r="C448" s="30" t="n"/>
      <c r="D448" s="30" t="n"/>
      <c r="E448" s="31" t="n"/>
      <c r="F448" s="30" t="n"/>
      <c r="G448" s="30">
        <f>IF(A448="","",MONTH(A448))</f>
        <v/>
      </c>
    </row>
    <row r="449">
      <c r="A449" s="29" t="n"/>
      <c r="B449" s="30" t="n"/>
      <c r="C449" s="30" t="n"/>
      <c r="D449" s="30" t="n"/>
      <c r="E449" s="31" t="n"/>
      <c r="F449" s="30" t="n"/>
      <c r="G449" s="30">
        <f>IF(A449="","",MONTH(A449))</f>
        <v/>
      </c>
    </row>
    <row r="450">
      <c r="A450" s="29" t="n"/>
      <c r="B450" s="30" t="n"/>
      <c r="C450" s="30" t="n"/>
      <c r="D450" s="30" t="n"/>
      <c r="E450" s="31" t="n"/>
      <c r="F450" s="30" t="n"/>
      <c r="G450" s="30">
        <f>IF(A450="","",MONTH(A450))</f>
        <v/>
      </c>
    </row>
    <row r="451">
      <c r="A451" s="29" t="n"/>
      <c r="B451" s="30" t="n"/>
      <c r="C451" s="30" t="n"/>
      <c r="D451" s="30" t="n"/>
      <c r="E451" s="31" t="n"/>
      <c r="F451" s="30" t="n"/>
      <c r="G451" s="30">
        <f>IF(A451="","",MONTH(A451))</f>
        <v/>
      </c>
    </row>
    <row r="452">
      <c r="A452" s="29" t="n"/>
      <c r="B452" s="30" t="n"/>
      <c r="C452" s="30" t="n"/>
      <c r="D452" s="30" t="n"/>
      <c r="E452" s="31" t="n"/>
      <c r="F452" s="30" t="n"/>
      <c r="G452" s="30">
        <f>IF(A452="","",MONTH(A452))</f>
        <v/>
      </c>
    </row>
    <row r="453">
      <c r="A453" s="29" t="n"/>
      <c r="B453" s="30" t="n"/>
      <c r="C453" s="30" t="n"/>
      <c r="D453" s="30" t="n"/>
      <c r="E453" s="31" t="n"/>
      <c r="F453" s="30" t="n"/>
      <c r="G453" s="30">
        <f>IF(A453="","",MONTH(A453))</f>
        <v/>
      </c>
    </row>
    <row r="454">
      <c r="A454" s="29" t="n"/>
      <c r="B454" s="30" t="n"/>
      <c r="C454" s="30" t="n"/>
      <c r="D454" s="30" t="n"/>
      <c r="E454" s="31" t="n"/>
      <c r="F454" s="30" t="n"/>
      <c r="G454" s="30">
        <f>IF(A454="","",MONTH(A454))</f>
        <v/>
      </c>
    </row>
    <row r="455">
      <c r="A455" s="29" t="n"/>
      <c r="B455" s="30" t="n"/>
      <c r="C455" s="30" t="n"/>
      <c r="D455" s="30" t="n"/>
      <c r="E455" s="31" t="n"/>
      <c r="F455" s="30" t="n"/>
      <c r="G455" s="30">
        <f>IF(A455="","",MONTH(A455))</f>
        <v/>
      </c>
    </row>
    <row r="456">
      <c r="A456" s="29" t="n"/>
      <c r="B456" s="30" t="n"/>
      <c r="C456" s="30" t="n"/>
      <c r="D456" s="30" t="n"/>
      <c r="E456" s="31" t="n"/>
      <c r="F456" s="30" t="n"/>
      <c r="G456" s="30">
        <f>IF(A456="","",MONTH(A456))</f>
        <v/>
      </c>
    </row>
    <row r="457">
      <c r="A457" s="29" t="n"/>
      <c r="B457" s="30" t="n"/>
      <c r="C457" s="30" t="n"/>
      <c r="D457" s="30" t="n"/>
      <c r="E457" s="31" t="n"/>
      <c r="F457" s="30" t="n"/>
      <c r="G457" s="30">
        <f>IF(A457="","",MONTH(A457))</f>
        <v/>
      </c>
    </row>
    <row r="458">
      <c r="A458" s="29" t="n"/>
      <c r="B458" s="30" t="n"/>
      <c r="C458" s="30" t="n"/>
      <c r="D458" s="30" t="n"/>
      <c r="E458" s="31" t="n"/>
      <c r="F458" s="30" t="n"/>
      <c r="G458" s="30">
        <f>IF(A458="","",MONTH(A458))</f>
        <v/>
      </c>
    </row>
    <row r="459">
      <c r="A459" s="29" t="n"/>
      <c r="B459" s="30" t="n"/>
      <c r="C459" s="30" t="n"/>
      <c r="D459" s="30" t="n"/>
      <c r="E459" s="31" t="n"/>
      <c r="F459" s="30" t="n"/>
      <c r="G459" s="30">
        <f>IF(A459="","",MONTH(A459))</f>
        <v/>
      </c>
    </row>
    <row r="460">
      <c r="A460" s="29" t="n"/>
      <c r="B460" s="30" t="n"/>
      <c r="C460" s="30" t="n"/>
      <c r="D460" s="30" t="n"/>
      <c r="E460" s="31" t="n"/>
      <c r="F460" s="30" t="n"/>
      <c r="G460" s="30">
        <f>IF(A460="","",MONTH(A460))</f>
        <v/>
      </c>
    </row>
    <row r="461">
      <c r="A461" s="29" t="n"/>
      <c r="B461" s="30" t="n"/>
      <c r="C461" s="30" t="n"/>
      <c r="D461" s="30" t="n"/>
      <c r="E461" s="31" t="n"/>
      <c r="F461" s="30" t="n"/>
      <c r="G461" s="30">
        <f>IF(A461="","",MONTH(A461))</f>
        <v/>
      </c>
    </row>
    <row r="462">
      <c r="A462" s="29" t="n"/>
      <c r="B462" s="30" t="n"/>
      <c r="C462" s="30" t="n"/>
      <c r="D462" s="30" t="n"/>
      <c r="E462" s="31" t="n"/>
      <c r="F462" s="30" t="n"/>
      <c r="G462" s="30">
        <f>IF(A462="","",MONTH(A462))</f>
        <v/>
      </c>
    </row>
    <row r="463">
      <c r="A463" s="29" t="n"/>
      <c r="B463" s="30" t="n"/>
      <c r="C463" s="30" t="n"/>
      <c r="D463" s="30" t="n"/>
      <c r="E463" s="31" t="n"/>
      <c r="F463" s="30" t="n"/>
      <c r="G463" s="30">
        <f>IF(A463="","",MONTH(A463))</f>
        <v/>
      </c>
    </row>
    <row r="464">
      <c r="A464" s="29" t="n"/>
      <c r="B464" s="30" t="n"/>
      <c r="C464" s="30" t="n"/>
      <c r="D464" s="30" t="n"/>
      <c r="E464" s="31" t="n"/>
      <c r="F464" s="30" t="n"/>
      <c r="G464" s="30">
        <f>IF(A464="","",MONTH(A464))</f>
        <v/>
      </c>
    </row>
    <row r="465">
      <c r="A465" s="29" t="n"/>
      <c r="B465" s="30" t="n"/>
      <c r="C465" s="30" t="n"/>
      <c r="D465" s="30" t="n"/>
      <c r="E465" s="31" t="n"/>
      <c r="F465" s="30" t="n"/>
      <c r="G465" s="30">
        <f>IF(A465="","",MONTH(A465))</f>
        <v/>
      </c>
    </row>
    <row r="466">
      <c r="A466" s="29" t="n"/>
      <c r="B466" s="30" t="n"/>
      <c r="C466" s="30" t="n"/>
      <c r="D466" s="30" t="n"/>
      <c r="E466" s="31" t="n"/>
      <c r="F466" s="30" t="n"/>
      <c r="G466" s="30">
        <f>IF(A466="","",MONTH(A466))</f>
        <v/>
      </c>
    </row>
    <row r="467">
      <c r="A467" s="29" t="n"/>
      <c r="B467" s="30" t="n"/>
      <c r="C467" s="30" t="n"/>
      <c r="D467" s="30" t="n"/>
      <c r="E467" s="31" t="n"/>
      <c r="F467" s="30" t="n"/>
      <c r="G467" s="30">
        <f>IF(A467="","",MONTH(A467))</f>
        <v/>
      </c>
    </row>
    <row r="468">
      <c r="A468" s="29" t="n"/>
      <c r="B468" s="30" t="n"/>
      <c r="C468" s="30" t="n"/>
      <c r="D468" s="30" t="n"/>
      <c r="E468" s="31" t="n"/>
      <c r="F468" s="30" t="n"/>
      <c r="G468" s="30">
        <f>IF(A468="","",MONTH(A468))</f>
        <v/>
      </c>
    </row>
    <row r="469">
      <c r="A469" s="29" t="n"/>
      <c r="B469" s="30" t="n"/>
      <c r="C469" s="30" t="n"/>
      <c r="D469" s="30" t="n"/>
      <c r="E469" s="31" t="n"/>
      <c r="F469" s="30" t="n"/>
      <c r="G469" s="30">
        <f>IF(A469="","",MONTH(A469))</f>
        <v/>
      </c>
    </row>
    <row r="470">
      <c r="A470" s="29" t="n"/>
      <c r="B470" s="30" t="n"/>
      <c r="C470" s="30" t="n"/>
      <c r="D470" s="30" t="n"/>
      <c r="E470" s="31" t="n"/>
      <c r="F470" s="30" t="n"/>
      <c r="G470" s="30">
        <f>IF(A470="","",MONTH(A470))</f>
        <v/>
      </c>
    </row>
    <row r="471">
      <c r="A471" s="29" t="n"/>
      <c r="B471" s="30" t="n"/>
      <c r="C471" s="30" t="n"/>
      <c r="D471" s="30" t="n"/>
      <c r="E471" s="31" t="n"/>
      <c r="F471" s="30" t="n"/>
      <c r="G471" s="30">
        <f>IF(A471="","",MONTH(A471))</f>
        <v/>
      </c>
    </row>
    <row r="472">
      <c r="A472" s="29" t="n"/>
      <c r="B472" s="30" t="n"/>
      <c r="C472" s="30" t="n"/>
      <c r="D472" s="30" t="n"/>
      <c r="E472" s="31" t="n"/>
      <c r="F472" s="30" t="n"/>
      <c r="G472" s="30">
        <f>IF(A472="","",MONTH(A472))</f>
        <v/>
      </c>
    </row>
    <row r="473">
      <c r="A473" s="29" t="n"/>
      <c r="B473" s="30" t="n"/>
      <c r="C473" s="30" t="n"/>
      <c r="D473" s="30" t="n"/>
      <c r="E473" s="31" t="n"/>
      <c r="F473" s="30" t="n"/>
      <c r="G473" s="30">
        <f>IF(A473="","",MONTH(A473))</f>
        <v/>
      </c>
    </row>
    <row r="474">
      <c r="A474" s="29" t="n"/>
      <c r="B474" s="30" t="n"/>
      <c r="C474" s="30" t="n"/>
      <c r="D474" s="30" t="n"/>
      <c r="E474" s="31" t="n"/>
      <c r="F474" s="30" t="n"/>
      <c r="G474" s="30">
        <f>IF(A474="","",MONTH(A474))</f>
        <v/>
      </c>
    </row>
    <row r="475">
      <c r="A475" s="29" t="n"/>
      <c r="B475" s="30" t="n"/>
      <c r="C475" s="30" t="n"/>
      <c r="D475" s="30" t="n"/>
      <c r="E475" s="31" t="n"/>
      <c r="F475" s="30" t="n"/>
      <c r="G475" s="30">
        <f>IF(A475="","",MONTH(A475))</f>
        <v/>
      </c>
    </row>
    <row r="476">
      <c r="A476" s="29" t="n"/>
      <c r="B476" s="30" t="n"/>
      <c r="C476" s="30" t="n"/>
      <c r="D476" s="30" t="n"/>
      <c r="E476" s="31" t="n"/>
      <c r="F476" s="30" t="n"/>
      <c r="G476" s="30">
        <f>IF(A476="","",MONTH(A476))</f>
        <v/>
      </c>
    </row>
    <row r="477">
      <c r="A477" s="29" t="n"/>
      <c r="B477" s="30" t="n"/>
      <c r="C477" s="30" t="n"/>
      <c r="D477" s="30" t="n"/>
      <c r="E477" s="31" t="n"/>
      <c r="F477" s="30" t="n"/>
      <c r="G477" s="30">
        <f>IF(A477="","",MONTH(A477))</f>
        <v/>
      </c>
    </row>
    <row r="478">
      <c r="A478" s="29" t="n"/>
      <c r="B478" s="30" t="n"/>
      <c r="C478" s="30" t="n"/>
      <c r="D478" s="30" t="n"/>
      <c r="E478" s="31" t="n"/>
      <c r="F478" s="30" t="n"/>
      <c r="G478" s="30">
        <f>IF(A478="","",MONTH(A478))</f>
        <v/>
      </c>
    </row>
    <row r="479">
      <c r="A479" s="29" t="n"/>
      <c r="B479" s="30" t="n"/>
      <c r="C479" s="30" t="n"/>
      <c r="D479" s="30" t="n"/>
      <c r="E479" s="31" t="n"/>
      <c r="F479" s="30" t="n"/>
      <c r="G479" s="30">
        <f>IF(A479="","",MONTH(A479))</f>
        <v/>
      </c>
    </row>
    <row r="480">
      <c r="A480" s="29" t="n"/>
      <c r="B480" s="30" t="n"/>
      <c r="C480" s="30" t="n"/>
      <c r="D480" s="30" t="n"/>
      <c r="E480" s="31" t="n"/>
      <c r="F480" s="30" t="n"/>
      <c r="G480" s="30">
        <f>IF(A480="","",MONTH(A480))</f>
        <v/>
      </c>
    </row>
    <row r="481">
      <c r="A481" s="29" t="n"/>
      <c r="B481" s="30" t="n"/>
      <c r="C481" s="30" t="n"/>
      <c r="D481" s="30" t="n"/>
      <c r="E481" s="31" t="n"/>
      <c r="F481" s="30" t="n"/>
      <c r="G481" s="30">
        <f>IF(A481="","",MONTH(A481))</f>
        <v/>
      </c>
    </row>
    <row r="482">
      <c r="A482" s="29" t="n"/>
      <c r="B482" s="30" t="n"/>
      <c r="C482" s="30" t="n"/>
      <c r="D482" s="30" t="n"/>
      <c r="E482" s="31" t="n"/>
      <c r="F482" s="30" t="n"/>
      <c r="G482" s="30">
        <f>IF(A482="","",MONTH(A482))</f>
        <v/>
      </c>
    </row>
    <row r="483">
      <c r="A483" s="29" t="n"/>
      <c r="B483" s="30" t="n"/>
      <c r="C483" s="30" t="n"/>
      <c r="D483" s="30" t="n"/>
      <c r="E483" s="31" t="n"/>
      <c r="F483" s="30" t="n"/>
      <c r="G483" s="30">
        <f>IF(A483="","",MONTH(A483))</f>
        <v/>
      </c>
    </row>
    <row r="484">
      <c r="A484" s="29" t="n"/>
      <c r="B484" s="30" t="n"/>
      <c r="C484" s="30" t="n"/>
      <c r="D484" s="30" t="n"/>
      <c r="E484" s="31" t="n"/>
      <c r="F484" s="30" t="n"/>
      <c r="G484" s="30">
        <f>IF(A484="","",MONTH(A484))</f>
        <v/>
      </c>
    </row>
    <row r="485">
      <c r="A485" s="29" t="n"/>
      <c r="B485" s="30" t="n"/>
      <c r="C485" s="30" t="n"/>
      <c r="D485" s="30" t="n"/>
      <c r="E485" s="31" t="n"/>
      <c r="F485" s="30" t="n"/>
      <c r="G485" s="30">
        <f>IF(A485="","",MONTH(A485))</f>
        <v/>
      </c>
    </row>
    <row r="486">
      <c r="A486" s="29" t="n"/>
      <c r="B486" s="30" t="n"/>
      <c r="C486" s="30" t="n"/>
      <c r="D486" s="30" t="n"/>
      <c r="E486" s="31" t="n"/>
      <c r="F486" s="30" t="n"/>
      <c r="G486" s="30">
        <f>IF(A486="","",MONTH(A486))</f>
        <v/>
      </c>
    </row>
    <row r="487">
      <c r="A487" s="29" t="n"/>
      <c r="B487" s="30" t="n"/>
      <c r="C487" s="30" t="n"/>
      <c r="D487" s="30" t="n"/>
      <c r="E487" s="31" t="n"/>
      <c r="F487" s="30" t="n"/>
      <c r="G487" s="30">
        <f>IF(A487="","",MONTH(A487))</f>
        <v/>
      </c>
    </row>
    <row r="488">
      <c r="A488" s="29" t="n"/>
      <c r="B488" s="30" t="n"/>
      <c r="C488" s="30" t="n"/>
      <c r="D488" s="30" t="n"/>
      <c r="E488" s="31" t="n"/>
      <c r="F488" s="30" t="n"/>
      <c r="G488" s="30">
        <f>IF(A488="","",MONTH(A488))</f>
        <v/>
      </c>
    </row>
    <row r="489">
      <c r="A489" s="29" t="n"/>
      <c r="B489" s="30" t="n"/>
      <c r="C489" s="30" t="n"/>
      <c r="D489" s="30" t="n"/>
      <c r="E489" s="31" t="n"/>
      <c r="F489" s="30" t="n"/>
      <c r="G489" s="30">
        <f>IF(A489="","",MONTH(A489))</f>
        <v/>
      </c>
    </row>
    <row r="490">
      <c r="A490" s="29" t="n"/>
      <c r="B490" s="30" t="n"/>
      <c r="C490" s="30" t="n"/>
      <c r="D490" s="30" t="n"/>
      <c r="E490" s="31" t="n"/>
      <c r="F490" s="30" t="n"/>
      <c r="G490" s="30">
        <f>IF(A490="","",MONTH(A490))</f>
        <v/>
      </c>
    </row>
    <row r="491">
      <c r="A491" s="29" t="n"/>
      <c r="B491" s="30" t="n"/>
      <c r="C491" s="30" t="n"/>
      <c r="D491" s="30" t="n"/>
      <c r="E491" s="31" t="n"/>
      <c r="F491" s="30" t="n"/>
      <c r="G491" s="30">
        <f>IF(A491="","",MONTH(A491))</f>
        <v/>
      </c>
    </row>
    <row r="492">
      <c r="A492" s="29" t="n"/>
      <c r="B492" s="30" t="n"/>
      <c r="C492" s="30" t="n"/>
      <c r="D492" s="30" t="n"/>
      <c r="E492" s="31" t="n"/>
      <c r="F492" s="30" t="n"/>
      <c r="G492" s="30">
        <f>IF(A492="","",MONTH(A492))</f>
        <v/>
      </c>
    </row>
    <row r="493">
      <c r="A493" s="29" t="n"/>
      <c r="B493" s="30" t="n"/>
      <c r="C493" s="30" t="n"/>
      <c r="D493" s="30" t="n"/>
      <c r="E493" s="31" t="n"/>
      <c r="F493" s="30" t="n"/>
      <c r="G493" s="30">
        <f>IF(A493="","",MONTH(A493))</f>
        <v/>
      </c>
    </row>
    <row r="494">
      <c r="A494" s="29" t="n"/>
      <c r="B494" s="30" t="n"/>
      <c r="C494" s="30" t="n"/>
      <c r="D494" s="30" t="n"/>
      <c r="E494" s="31" t="n"/>
      <c r="F494" s="30" t="n"/>
      <c r="G494" s="30">
        <f>IF(A494="","",MONTH(A494))</f>
        <v/>
      </c>
    </row>
    <row r="495">
      <c r="A495" s="29" t="n"/>
      <c r="B495" s="30" t="n"/>
      <c r="C495" s="30" t="n"/>
      <c r="D495" s="30" t="n"/>
      <c r="E495" s="31" t="n"/>
      <c r="F495" s="30" t="n"/>
      <c r="G495" s="30">
        <f>IF(A495="","",MONTH(A495))</f>
        <v/>
      </c>
    </row>
    <row r="496">
      <c r="A496" s="29" t="n"/>
      <c r="B496" s="30" t="n"/>
      <c r="C496" s="30" t="n"/>
      <c r="D496" s="30" t="n"/>
      <c r="E496" s="31" t="n"/>
      <c r="F496" s="30" t="n"/>
      <c r="G496" s="30">
        <f>IF(A496="","",MONTH(A496))</f>
        <v/>
      </c>
    </row>
    <row r="497">
      <c r="A497" s="29" t="n"/>
      <c r="B497" s="30" t="n"/>
      <c r="C497" s="30" t="n"/>
      <c r="D497" s="30" t="n"/>
      <c r="E497" s="31" t="n"/>
      <c r="F497" s="30" t="n"/>
      <c r="G497" s="30">
        <f>IF(A497="","",MONTH(A497))</f>
        <v/>
      </c>
    </row>
    <row r="498">
      <c r="A498" s="29" t="n"/>
      <c r="B498" s="30" t="n"/>
      <c r="C498" s="30" t="n"/>
      <c r="D498" s="30" t="n"/>
      <c r="E498" s="31" t="n"/>
      <c r="F498" s="30" t="n"/>
      <c r="G498" s="30">
        <f>IF(A498="","",MONTH(A498))</f>
        <v/>
      </c>
    </row>
    <row r="499">
      <c r="A499" s="29" t="n"/>
      <c r="B499" s="30" t="n"/>
      <c r="C499" s="30" t="n"/>
      <c r="D499" s="30" t="n"/>
      <c r="E499" s="31" t="n"/>
      <c r="F499" s="30" t="n"/>
      <c r="G499" s="30">
        <f>IF(A499="","",MONTH(A499))</f>
        <v/>
      </c>
    </row>
    <row r="500">
      <c r="A500" s="29" t="n"/>
      <c r="B500" s="30" t="n"/>
      <c r="C500" s="30" t="n"/>
      <c r="D500" s="30" t="n"/>
      <c r="E500" s="31" t="n"/>
      <c r="F500" s="30" t="n"/>
      <c r="G500" s="30">
        <f>IF(A500="","",MONTH(A500))</f>
        <v/>
      </c>
    </row>
    <row r="501">
      <c r="A501" s="29" t="n"/>
      <c r="B501" s="30" t="n"/>
      <c r="C501" s="30" t="n"/>
      <c r="D501" s="30" t="n"/>
      <c r="E501" s="31" t="n"/>
      <c r="F501" s="30" t="n"/>
      <c r="G501" s="30">
        <f>IF(A501="","",MONTH(A501))</f>
        <v/>
      </c>
    </row>
    <row r="502">
      <c r="A502" s="29" t="n"/>
      <c r="B502" s="30" t="n"/>
      <c r="C502" s="30" t="n"/>
      <c r="D502" s="30" t="n"/>
      <c r="E502" s="31" t="n"/>
      <c r="F502" s="30" t="n"/>
      <c r="G502" s="30">
        <f>IF(A502="","",MONTH(A502))</f>
        <v/>
      </c>
    </row>
    <row r="503">
      <c r="A503" s="29" t="n"/>
      <c r="B503" s="30" t="n"/>
      <c r="C503" s="30" t="n"/>
      <c r="D503" s="30" t="n"/>
      <c r="E503" s="31" t="n"/>
      <c r="F503" s="30" t="n"/>
      <c r="G503" s="30">
        <f>IF(A503="","",MONTH(A503))</f>
        <v/>
      </c>
    </row>
    <row r="504">
      <c r="A504" s="29" t="n"/>
      <c r="B504" s="30" t="n"/>
      <c r="C504" s="30" t="n"/>
      <c r="D504" s="30" t="n"/>
      <c r="E504" s="31" t="n"/>
      <c r="F504" s="30" t="n"/>
      <c r="G504" s="30">
        <f>IF(A504="","",MONTH(A504))</f>
        <v/>
      </c>
    </row>
    <row r="505">
      <c r="A505" s="29" t="n"/>
      <c r="B505" s="30" t="n"/>
      <c r="C505" s="30" t="n"/>
      <c r="D505" s="30" t="n"/>
      <c r="E505" s="31" t="n"/>
      <c r="F505" s="30" t="n"/>
      <c r="G505" s="30">
        <f>IF(A505="","",MONTH(A505))</f>
        <v/>
      </c>
    </row>
    <row r="506">
      <c r="A506" s="29" t="n"/>
      <c r="B506" s="30" t="n"/>
      <c r="C506" s="30" t="n"/>
      <c r="D506" s="30" t="n"/>
      <c r="E506" s="31" t="n"/>
      <c r="F506" s="30" t="n"/>
      <c r="G506" s="30">
        <f>IF(A506="","",MONTH(A506))</f>
        <v/>
      </c>
    </row>
    <row r="507">
      <c r="A507" s="29" t="n"/>
      <c r="B507" s="30" t="n"/>
      <c r="C507" s="30" t="n"/>
      <c r="D507" s="30" t="n"/>
      <c r="E507" s="31" t="n"/>
      <c r="F507" s="30" t="n"/>
      <c r="G507" s="30">
        <f>IF(A507="","",MONTH(A507))</f>
        <v/>
      </c>
    </row>
    <row r="508">
      <c r="A508" s="29" t="n"/>
      <c r="B508" s="30" t="n"/>
      <c r="C508" s="30" t="n"/>
      <c r="D508" s="30" t="n"/>
      <c r="E508" s="31" t="n"/>
      <c r="F508" s="30" t="n"/>
      <c r="G508" s="30">
        <f>IF(A508="","",MONTH(A508))</f>
        <v/>
      </c>
    </row>
    <row r="509">
      <c r="A509" s="29" t="n"/>
      <c r="B509" s="30" t="n"/>
      <c r="C509" s="30" t="n"/>
      <c r="D509" s="30" t="n"/>
      <c r="E509" s="31" t="n"/>
      <c r="F509" s="30" t="n"/>
      <c r="G509" s="30">
        <f>IF(A509="","",MONTH(A509))</f>
        <v/>
      </c>
    </row>
    <row r="510">
      <c r="A510" s="29" t="n"/>
      <c r="B510" s="30" t="n"/>
      <c r="C510" s="30" t="n"/>
      <c r="D510" s="30" t="n"/>
      <c r="E510" s="31" t="n"/>
      <c r="F510" s="30" t="n"/>
      <c r="G510" s="30">
        <f>IF(A510="","",MONTH(A510))</f>
        <v/>
      </c>
    </row>
    <row r="511">
      <c r="A511" s="29" t="n"/>
      <c r="B511" s="30" t="n"/>
      <c r="C511" s="30" t="n"/>
      <c r="D511" s="30" t="n"/>
      <c r="E511" s="31" t="n"/>
      <c r="F511" s="30" t="n"/>
      <c r="G511" s="30">
        <f>IF(A511="","",MONTH(A511))</f>
        <v/>
      </c>
    </row>
    <row r="512">
      <c r="A512" s="29" t="n"/>
      <c r="B512" s="30" t="n"/>
      <c r="C512" s="30" t="n"/>
      <c r="D512" s="30" t="n"/>
      <c r="E512" s="31" t="n"/>
      <c r="F512" s="30" t="n"/>
      <c r="G512" s="30">
        <f>IF(A512="","",MONTH(A512))</f>
        <v/>
      </c>
    </row>
    <row r="513">
      <c r="A513" s="29" t="n"/>
      <c r="B513" s="30" t="n"/>
      <c r="C513" s="30" t="n"/>
      <c r="D513" s="30" t="n"/>
      <c r="E513" s="31" t="n"/>
      <c r="F513" s="30" t="n"/>
      <c r="G513" s="30">
        <f>IF(A513="","",MONTH(A513))</f>
        <v/>
      </c>
    </row>
    <row r="514">
      <c r="A514" s="29" t="n"/>
      <c r="B514" s="30" t="n"/>
      <c r="C514" s="30" t="n"/>
      <c r="D514" s="30" t="n"/>
      <c r="E514" s="31" t="n"/>
      <c r="F514" s="30" t="n"/>
      <c r="G514" s="30">
        <f>IF(A514="","",MONTH(A514))</f>
        <v/>
      </c>
    </row>
    <row r="515">
      <c r="A515" s="29" t="n"/>
      <c r="B515" s="30" t="n"/>
      <c r="C515" s="30" t="n"/>
      <c r="D515" s="30" t="n"/>
      <c r="E515" s="31" t="n"/>
      <c r="F515" s="30" t="n"/>
      <c r="G515" s="30">
        <f>IF(A515="","",MONTH(A515))</f>
        <v/>
      </c>
    </row>
    <row r="516">
      <c r="A516" s="29" t="n"/>
      <c r="B516" s="30" t="n"/>
      <c r="C516" s="30" t="n"/>
      <c r="D516" s="30" t="n"/>
      <c r="E516" s="31" t="n"/>
      <c r="F516" s="30" t="n"/>
      <c r="G516" s="30">
        <f>IF(A516="","",MONTH(A516))</f>
        <v/>
      </c>
    </row>
    <row r="517">
      <c r="A517" s="29" t="n"/>
      <c r="B517" s="30" t="n"/>
      <c r="C517" s="30" t="n"/>
      <c r="D517" s="30" t="n"/>
      <c r="E517" s="31" t="n"/>
      <c r="F517" s="30" t="n"/>
      <c r="G517" s="30">
        <f>IF(A517="","",MONTH(A517))</f>
        <v/>
      </c>
    </row>
    <row r="518">
      <c r="A518" s="29" t="n"/>
      <c r="B518" s="30" t="n"/>
      <c r="C518" s="30" t="n"/>
      <c r="D518" s="30" t="n"/>
      <c r="E518" s="31" t="n"/>
      <c r="F518" s="30" t="n"/>
      <c r="G518" s="30">
        <f>IF(A518="","",MONTH(A518))</f>
        <v/>
      </c>
    </row>
    <row r="519">
      <c r="A519" s="29" t="n"/>
      <c r="B519" s="30" t="n"/>
      <c r="C519" s="30" t="n"/>
      <c r="D519" s="30" t="n"/>
      <c r="E519" s="31" t="n"/>
      <c r="F519" s="30" t="n"/>
      <c r="G519" s="30">
        <f>IF(A519="","",MONTH(A519))</f>
        <v/>
      </c>
    </row>
    <row r="520">
      <c r="A520" s="29" t="n"/>
      <c r="B520" s="30" t="n"/>
      <c r="C520" s="30" t="n"/>
      <c r="D520" s="30" t="n"/>
      <c r="E520" s="31" t="n"/>
      <c r="F520" s="30" t="n"/>
      <c r="G520" s="30">
        <f>IF(A520="","",MONTH(A520))</f>
        <v/>
      </c>
    </row>
    <row r="521">
      <c r="A521" s="29" t="n"/>
      <c r="B521" s="30" t="n"/>
      <c r="C521" s="30" t="n"/>
      <c r="D521" s="30" t="n"/>
      <c r="E521" s="31" t="n"/>
      <c r="F521" s="30" t="n"/>
      <c r="G521" s="30">
        <f>IF(A521="","",MONTH(A521))</f>
        <v/>
      </c>
    </row>
    <row r="522">
      <c r="A522" s="29" t="n"/>
      <c r="B522" s="30" t="n"/>
      <c r="C522" s="30" t="n"/>
      <c r="D522" s="30" t="n"/>
      <c r="E522" s="31" t="n"/>
      <c r="F522" s="30" t="n"/>
      <c r="G522" s="30">
        <f>IF(A522="","",MONTH(A522))</f>
        <v/>
      </c>
    </row>
    <row r="523">
      <c r="A523" s="29" t="n"/>
      <c r="B523" s="30" t="n"/>
      <c r="C523" s="30" t="n"/>
      <c r="D523" s="30" t="n"/>
      <c r="E523" s="31" t="n"/>
      <c r="F523" s="30" t="n"/>
      <c r="G523" s="30">
        <f>IF(A523="","",MONTH(A523))</f>
        <v/>
      </c>
    </row>
    <row r="524">
      <c r="A524" s="29" t="n"/>
      <c r="B524" s="30" t="n"/>
      <c r="C524" s="30" t="n"/>
      <c r="D524" s="30" t="n"/>
      <c r="E524" s="31" t="n"/>
      <c r="F524" s="30" t="n"/>
      <c r="G524" s="30">
        <f>IF(A524="","",MONTH(A524))</f>
        <v/>
      </c>
    </row>
    <row r="525">
      <c r="A525" s="29" t="n"/>
      <c r="B525" s="30" t="n"/>
      <c r="C525" s="30" t="n"/>
      <c r="D525" s="30" t="n"/>
      <c r="E525" s="31" t="n"/>
      <c r="F525" s="30" t="n"/>
      <c r="G525" s="30">
        <f>IF(A525="","",MONTH(A525))</f>
        <v/>
      </c>
    </row>
    <row r="526">
      <c r="A526" s="29" t="n"/>
      <c r="B526" s="30" t="n"/>
      <c r="C526" s="30" t="n"/>
      <c r="D526" s="30" t="n"/>
      <c r="E526" s="31" t="n"/>
      <c r="F526" s="30" t="n"/>
      <c r="G526" s="30">
        <f>IF(A526="","",MONTH(A526))</f>
        <v/>
      </c>
    </row>
    <row r="527">
      <c r="A527" s="29" t="n"/>
      <c r="B527" s="30" t="n"/>
      <c r="C527" s="30" t="n"/>
      <c r="D527" s="30" t="n"/>
      <c r="E527" s="31" t="n"/>
      <c r="F527" s="30" t="n"/>
      <c r="G527" s="30">
        <f>IF(A527="","",MONTH(A527))</f>
        <v/>
      </c>
    </row>
    <row r="528">
      <c r="A528" s="29" t="n"/>
      <c r="B528" s="30" t="n"/>
      <c r="C528" s="30" t="n"/>
      <c r="D528" s="30" t="n"/>
      <c r="E528" s="31" t="n"/>
      <c r="F528" s="30" t="n"/>
      <c r="G528" s="30">
        <f>IF(A528="","",MONTH(A528))</f>
        <v/>
      </c>
    </row>
    <row r="529">
      <c r="A529" s="29" t="n"/>
      <c r="B529" s="30" t="n"/>
      <c r="C529" s="30" t="n"/>
      <c r="D529" s="30" t="n"/>
      <c r="E529" s="31" t="n"/>
      <c r="F529" s="30" t="n"/>
      <c r="G529" s="30">
        <f>IF(A529="","",MONTH(A529))</f>
        <v/>
      </c>
    </row>
    <row r="530">
      <c r="A530" s="29" t="n"/>
      <c r="B530" s="30" t="n"/>
      <c r="C530" s="30" t="n"/>
      <c r="D530" s="30" t="n"/>
      <c r="E530" s="31" t="n"/>
      <c r="F530" s="30" t="n"/>
      <c r="G530" s="30">
        <f>IF(A530="","",MONTH(A530))</f>
        <v/>
      </c>
    </row>
    <row r="531">
      <c r="A531" s="29" t="n"/>
      <c r="B531" s="30" t="n"/>
      <c r="C531" s="30" t="n"/>
      <c r="D531" s="30" t="n"/>
      <c r="E531" s="31" t="n"/>
      <c r="F531" s="30" t="n"/>
      <c r="G531" s="30">
        <f>IF(A531="","",MONTH(A531))</f>
        <v/>
      </c>
    </row>
    <row r="532">
      <c r="A532" s="29" t="n"/>
      <c r="B532" s="30" t="n"/>
      <c r="C532" s="30" t="n"/>
      <c r="D532" s="30" t="n"/>
      <c r="E532" s="31" t="n"/>
      <c r="F532" s="30" t="n"/>
      <c r="G532" s="30">
        <f>IF(A532="","",MONTH(A532))</f>
        <v/>
      </c>
    </row>
    <row r="533">
      <c r="A533" s="29" t="n"/>
      <c r="B533" s="30" t="n"/>
      <c r="C533" s="30" t="n"/>
      <c r="D533" s="30" t="n"/>
      <c r="E533" s="31" t="n"/>
      <c r="F533" s="30" t="n"/>
      <c r="G533" s="30">
        <f>IF(A533="","",MONTH(A533))</f>
        <v/>
      </c>
    </row>
    <row r="534">
      <c r="A534" s="29" t="n"/>
      <c r="B534" s="30" t="n"/>
      <c r="C534" s="30" t="n"/>
      <c r="D534" s="30" t="n"/>
      <c r="E534" s="31" t="n"/>
      <c r="F534" s="30" t="n"/>
      <c r="G534" s="30">
        <f>IF(A534="","",MONTH(A534))</f>
        <v/>
      </c>
    </row>
    <row r="535">
      <c r="A535" s="29" t="n"/>
      <c r="B535" s="30" t="n"/>
      <c r="C535" s="30" t="n"/>
      <c r="D535" s="30" t="n"/>
      <c r="E535" s="31" t="n"/>
      <c r="F535" s="30" t="n"/>
      <c r="G535" s="30">
        <f>IF(A535="","",MONTH(A535))</f>
        <v/>
      </c>
    </row>
    <row r="536">
      <c r="A536" s="29" t="n"/>
      <c r="B536" s="30" t="n"/>
      <c r="C536" s="30" t="n"/>
      <c r="D536" s="30" t="n"/>
      <c r="E536" s="31" t="n"/>
      <c r="F536" s="30" t="n"/>
      <c r="G536" s="30">
        <f>IF(A536="","",MONTH(A536))</f>
        <v/>
      </c>
    </row>
    <row r="537">
      <c r="A537" s="29" t="n"/>
      <c r="B537" s="30" t="n"/>
      <c r="C537" s="30" t="n"/>
      <c r="D537" s="30" t="n"/>
      <c r="E537" s="31" t="n"/>
      <c r="F537" s="30" t="n"/>
      <c r="G537" s="30">
        <f>IF(A537="","",MONTH(A537))</f>
        <v/>
      </c>
    </row>
    <row r="538">
      <c r="A538" s="29" t="n"/>
      <c r="B538" s="30" t="n"/>
      <c r="C538" s="30" t="n"/>
      <c r="D538" s="30" t="n"/>
      <c r="E538" s="31" t="n"/>
      <c r="F538" s="30" t="n"/>
      <c r="G538" s="30">
        <f>IF(A538="","",MONTH(A538))</f>
        <v/>
      </c>
    </row>
    <row r="539">
      <c r="A539" s="29" t="n"/>
      <c r="B539" s="30" t="n"/>
      <c r="C539" s="30" t="n"/>
      <c r="D539" s="30" t="n"/>
      <c r="E539" s="31" t="n"/>
      <c r="F539" s="30" t="n"/>
      <c r="G539" s="30">
        <f>IF(A539="","",MONTH(A539))</f>
        <v/>
      </c>
    </row>
    <row r="540">
      <c r="A540" s="29" t="n"/>
      <c r="B540" s="30" t="n"/>
      <c r="C540" s="30" t="n"/>
      <c r="D540" s="30" t="n"/>
      <c r="E540" s="31" t="n"/>
      <c r="F540" s="30" t="n"/>
      <c r="G540" s="30">
        <f>IF(A540="","",MONTH(A540))</f>
        <v/>
      </c>
    </row>
    <row r="541">
      <c r="A541" s="29" t="n"/>
      <c r="B541" s="30" t="n"/>
      <c r="C541" s="30" t="n"/>
      <c r="D541" s="30" t="n"/>
      <c r="E541" s="31" t="n"/>
      <c r="F541" s="30" t="n"/>
      <c r="G541" s="30">
        <f>IF(A541="","",MONTH(A541))</f>
        <v/>
      </c>
    </row>
    <row r="542">
      <c r="A542" s="29" t="n"/>
      <c r="B542" s="30" t="n"/>
      <c r="C542" s="30" t="n"/>
      <c r="D542" s="30" t="n"/>
      <c r="E542" s="31" t="n"/>
      <c r="F542" s="30" t="n"/>
      <c r="G542" s="30">
        <f>IF(A542="","",MONTH(A542))</f>
        <v/>
      </c>
    </row>
    <row r="543">
      <c r="A543" s="29" t="n"/>
      <c r="B543" s="30" t="n"/>
      <c r="C543" s="30" t="n"/>
      <c r="D543" s="30" t="n"/>
      <c r="E543" s="31" t="n"/>
      <c r="F543" s="30" t="n"/>
      <c r="G543" s="30">
        <f>IF(A543="","",MONTH(A543))</f>
        <v/>
      </c>
    </row>
    <row r="544">
      <c r="A544" s="29" t="n"/>
      <c r="B544" s="30" t="n"/>
      <c r="C544" s="30" t="n"/>
      <c r="D544" s="30" t="n"/>
      <c r="E544" s="31" t="n"/>
      <c r="F544" s="30" t="n"/>
      <c r="G544" s="30">
        <f>IF(A544="","",MONTH(A544))</f>
        <v/>
      </c>
    </row>
    <row r="545">
      <c r="A545" s="29" t="n"/>
      <c r="B545" s="30" t="n"/>
      <c r="C545" s="30" t="n"/>
      <c r="D545" s="30" t="n"/>
      <c r="E545" s="31" t="n"/>
      <c r="F545" s="30" t="n"/>
      <c r="G545" s="30">
        <f>IF(A545="","",MONTH(A545))</f>
        <v/>
      </c>
    </row>
    <row r="546">
      <c r="A546" s="29" t="n"/>
      <c r="B546" s="30" t="n"/>
      <c r="C546" s="30" t="n"/>
      <c r="D546" s="30" t="n"/>
      <c r="E546" s="31" t="n"/>
      <c r="F546" s="30" t="n"/>
      <c r="G546" s="30">
        <f>IF(A546="","",MONTH(A546))</f>
        <v/>
      </c>
    </row>
    <row r="547">
      <c r="A547" s="29" t="n"/>
      <c r="B547" s="30" t="n"/>
      <c r="C547" s="30" t="n"/>
      <c r="D547" s="30" t="n"/>
      <c r="E547" s="31" t="n"/>
      <c r="F547" s="30" t="n"/>
      <c r="G547" s="30">
        <f>IF(A547="","",MONTH(A547))</f>
        <v/>
      </c>
    </row>
    <row r="548">
      <c r="A548" s="29" t="n"/>
      <c r="B548" s="30" t="n"/>
      <c r="C548" s="30" t="n"/>
      <c r="D548" s="30" t="n"/>
      <c r="E548" s="31" t="n"/>
      <c r="F548" s="30" t="n"/>
      <c r="G548" s="30">
        <f>IF(A548="","",MONTH(A548))</f>
        <v/>
      </c>
    </row>
    <row r="549">
      <c r="A549" s="29" t="n"/>
      <c r="B549" s="30" t="n"/>
      <c r="C549" s="30" t="n"/>
      <c r="D549" s="30" t="n"/>
      <c r="E549" s="31" t="n"/>
      <c r="F549" s="30" t="n"/>
      <c r="G549" s="30">
        <f>IF(A549="","",MONTH(A549))</f>
        <v/>
      </c>
    </row>
    <row r="550">
      <c r="A550" s="29" t="n"/>
      <c r="B550" s="30" t="n"/>
      <c r="C550" s="30" t="n"/>
      <c r="D550" s="30" t="n"/>
      <c r="E550" s="31" t="n"/>
      <c r="F550" s="30" t="n"/>
      <c r="G550" s="30">
        <f>IF(A550="","",MONTH(A550))</f>
        <v/>
      </c>
    </row>
    <row r="551">
      <c r="A551" s="29" t="n"/>
      <c r="B551" s="30" t="n"/>
      <c r="C551" s="30" t="n"/>
      <c r="D551" s="30" t="n"/>
      <c r="E551" s="31" t="n"/>
      <c r="F551" s="30" t="n"/>
      <c r="G551" s="30">
        <f>IF(A551="","",MONTH(A551))</f>
        <v/>
      </c>
    </row>
    <row r="552">
      <c r="A552" s="29" t="n"/>
      <c r="B552" s="30" t="n"/>
      <c r="C552" s="30" t="n"/>
      <c r="D552" s="30" t="n"/>
      <c r="E552" s="31" t="n"/>
      <c r="F552" s="30" t="n"/>
      <c r="G552" s="30">
        <f>IF(A552="","",MONTH(A552))</f>
        <v/>
      </c>
    </row>
    <row r="553">
      <c r="A553" s="29" t="n"/>
      <c r="B553" s="30" t="n"/>
      <c r="C553" s="30" t="n"/>
      <c r="D553" s="30" t="n"/>
      <c r="E553" s="31" t="n"/>
      <c r="F553" s="30" t="n"/>
      <c r="G553" s="30">
        <f>IF(A553="","",MONTH(A553))</f>
        <v/>
      </c>
    </row>
    <row r="554">
      <c r="A554" s="29" t="n"/>
      <c r="B554" s="30" t="n"/>
      <c r="C554" s="30" t="n"/>
      <c r="D554" s="30" t="n"/>
      <c r="E554" s="31" t="n"/>
      <c r="F554" s="30" t="n"/>
      <c r="G554" s="30">
        <f>IF(A554="","",MONTH(A554))</f>
        <v/>
      </c>
    </row>
    <row r="555">
      <c r="A555" s="29" t="n"/>
      <c r="B555" s="30" t="n"/>
      <c r="C555" s="30" t="n"/>
      <c r="D555" s="30" t="n"/>
      <c r="E555" s="31" t="n"/>
      <c r="F555" s="30" t="n"/>
      <c r="G555" s="30">
        <f>IF(A555="","",MONTH(A555))</f>
        <v/>
      </c>
    </row>
    <row r="556">
      <c r="A556" s="29" t="n"/>
      <c r="B556" s="30" t="n"/>
      <c r="C556" s="30" t="n"/>
      <c r="D556" s="30" t="n"/>
      <c r="E556" s="31" t="n"/>
      <c r="F556" s="30" t="n"/>
      <c r="G556" s="30">
        <f>IF(A556="","",MONTH(A556))</f>
        <v/>
      </c>
    </row>
    <row r="557">
      <c r="A557" s="29" t="n"/>
      <c r="B557" s="30" t="n"/>
      <c r="C557" s="30" t="n"/>
      <c r="D557" s="30" t="n"/>
      <c r="E557" s="31" t="n"/>
      <c r="F557" s="30" t="n"/>
      <c r="G557" s="30">
        <f>IF(A557="","",MONTH(A557))</f>
        <v/>
      </c>
    </row>
    <row r="558">
      <c r="A558" s="29" t="n"/>
      <c r="B558" s="30" t="n"/>
      <c r="C558" s="30" t="n"/>
      <c r="D558" s="30" t="n"/>
      <c r="E558" s="31" t="n"/>
      <c r="F558" s="30" t="n"/>
      <c r="G558" s="30">
        <f>IF(A558="","",MONTH(A558))</f>
        <v/>
      </c>
    </row>
    <row r="559">
      <c r="A559" s="29" t="n"/>
      <c r="B559" s="30" t="n"/>
      <c r="C559" s="30" t="n"/>
      <c r="D559" s="30" t="n"/>
      <c r="E559" s="31" t="n"/>
      <c r="F559" s="30" t="n"/>
      <c r="G559" s="30">
        <f>IF(A559="","",MONTH(A559))</f>
        <v/>
      </c>
    </row>
    <row r="560">
      <c r="A560" s="29" t="n"/>
      <c r="B560" s="30" t="n"/>
      <c r="C560" s="30" t="n"/>
      <c r="D560" s="30" t="n"/>
      <c r="E560" s="31" t="n"/>
      <c r="F560" s="30" t="n"/>
      <c r="G560" s="30">
        <f>IF(A560="","",MONTH(A560))</f>
        <v/>
      </c>
    </row>
    <row r="561">
      <c r="A561" s="29" t="n"/>
      <c r="B561" s="30" t="n"/>
      <c r="C561" s="30" t="n"/>
      <c r="D561" s="30" t="n"/>
      <c r="E561" s="31" t="n"/>
      <c r="F561" s="30" t="n"/>
      <c r="G561" s="30">
        <f>IF(A561="","",MONTH(A561))</f>
        <v/>
      </c>
    </row>
    <row r="562">
      <c r="A562" s="29" t="n"/>
      <c r="B562" s="30" t="n"/>
      <c r="C562" s="30" t="n"/>
      <c r="D562" s="30" t="n"/>
      <c r="E562" s="31" t="n"/>
      <c r="F562" s="30" t="n"/>
      <c r="G562" s="30">
        <f>IF(A562="","",MONTH(A562))</f>
        <v/>
      </c>
    </row>
    <row r="563">
      <c r="A563" s="29" t="n"/>
      <c r="B563" s="30" t="n"/>
      <c r="C563" s="30" t="n"/>
      <c r="D563" s="30" t="n"/>
      <c r="E563" s="31" t="n"/>
      <c r="F563" s="30" t="n"/>
      <c r="G563" s="30">
        <f>IF(A563="","",MONTH(A563))</f>
        <v/>
      </c>
    </row>
    <row r="564">
      <c r="A564" s="29" t="n"/>
      <c r="B564" s="30" t="n"/>
      <c r="C564" s="30" t="n"/>
      <c r="D564" s="30" t="n"/>
      <c r="E564" s="31" t="n"/>
      <c r="F564" s="30" t="n"/>
      <c r="G564" s="30">
        <f>IF(A564="","",MONTH(A564))</f>
        <v/>
      </c>
    </row>
    <row r="565">
      <c r="A565" s="29" t="n"/>
      <c r="B565" s="30" t="n"/>
      <c r="C565" s="30" t="n"/>
      <c r="D565" s="30" t="n"/>
      <c r="E565" s="31" t="n"/>
      <c r="F565" s="30" t="n"/>
      <c r="G565" s="30">
        <f>IF(A565="","",MONTH(A565))</f>
        <v/>
      </c>
    </row>
    <row r="566">
      <c r="A566" s="29" t="n"/>
      <c r="B566" s="30" t="n"/>
      <c r="C566" s="30" t="n"/>
      <c r="D566" s="30" t="n"/>
      <c r="E566" s="31" t="n"/>
      <c r="F566" s="30" t="n"/>
      <c r="G566" s="30">
        <f>IF(A566="","",MONTH(A566))</f>
        <v/>
      </c>
    </row>
    <row r="567">
      <c r="A567" s="29" t="n"/>
      <c r="B567" s="30" t="n"/>
      <c r="C567" s="30" t="n"/>
      <c r="D567" s="30" t="n"/>
      <c r="E567" s="31" t="n"/>
      <c r="F567" s="30" t="n"/>
      <c r="G567" s="30">
        <f>IF(A567="","",MONTH(A567))</f>
        <v/>
      </c>
    </row>
    <row r="568">
      <c r="A568" s="29" t="n"/>
      <c r="B568" s="30" t="n"/>
      <c r="C568" s="30" t="n"/>
      <c r="D568" s="30" t="n"/>
      <c r="E568" s="31" t="n"/>
      <c r="F568" s="30" t="n"/>
      <c r="G568" s="30">
        <f>IF(A568="","",MONTH(A568))</f>
        <v/>
      </c>
    </row>
    <row r="569">
      <c r="A569" s="29" t="n"/>
      <c r="B569" s="30" t="n"/>
      <c r="C569" s="30" t="n"/>
      <c r="D569" s="30" t="n"/>
      <c r="E569" s="31" t="n"/>
      <c r="F569" s="30" t="n"/>
      <c r="G569" s="30">
        <f>IF(A569="","",MONTH(A569))</f>
        <v/>
      </c>
    </row>
    <row r="570">
      <c r="A570" s="29" t="n"/>
      <c r="B570" s="30" t="n"/>
      <c r="C570" s="30" t="n"/>
      <c r="D570" s="30" t="n"/>
      <c r="E570" s="31" t="n"/>
      <c r="F570" s="30" t="n"/>
      <c r="G570" s="30">
        <f>IF(A570="","",MONTH(A570))</f>
        <v/>
      </c>
    </row>
    <row r="571">
      <c r="A571" s="29" t="n"/>
      <c r="B571" s="30" t="n"/>
      <c r="C571" s="30" t="n"/>
      <c r="D571" s="30" t="n"/>
      <c r="E571" s="31" t="n"/>
      <c r="F571" s="30" t="n"/>
      <c r="G571" s="30">
        <f>IF(A571="","",MONTH(A571))</f>
        <v/>
      </c>
    </row>
    <row r="572">
      <c r="A572" s="29" t="n"/>
      <c r="B572" s="30" t="n"/>
      <c r="C572" s="30" t="n"/>
      <c r="D572" s="30" t="n"/>
      <c r="E572" s="31" t="n"/>
      <c r="F572" s="30" t="n"/>
      <c r="G572" s="30">
        <f>IF(A572="","",MONTH(A572))</f>
        <v/>
      </c>
    </row>
    <row r="573">
      <c r="A573" s="29" t="n"/>
      <c r="B573" s="30" t="n"/>
      <c r="C573" s="30" t="n"/>
      <c r="D573" s="30" t="n"/>
      <c r="E573" s="31" t="n"/>
      <c r="F573" s="30" t="n"/>
      <c r="G573" s="30">
        <f>IF(A573="","",MONTH(A573))</f>
        <v/>
      </c>
    </row>
    <row r="574">
      <c r="A574" s="29" t="n"/>
      <c r="B574" s="30" t="n"/>
      <c r="C574" s="30" t="n"/>
      <c r="D574" s="30" t="n"/>
      <c r="E574" s="31" t="n"/>
      <c r="F574" s="30" t="n"/>
      <c r="G574" s="30">
        <f>IF(A574="","",MONTH(A574))</f>
        <v/>
      </c>
    </row>
    <row r="575">
      <c r="A575" s="29" t="n"/>
      <c r="B575" s="30" t="n"/>
      <c r="C575" s="30" t="n"/>
      <c r="D575" s="30" t="n"/>
      <c r="E575" s="31" t="n"/>
      <c r="F575" s="30" t="n"/>
      <c r="G575" s="30">
        <f>IF(A575="","",MONTH(A575))</f>
        <v/>
      </c>
    </row>
    <row r="576">
      <c r="A576" s="29" t="n"/>
      <c r="B576" s="30" t="n"/>
      <c r="C576" s="30" t="n"/>
      <c r="D576" s="30" t="n"/>
      <c r="E576" s="31" t="n"/>
      <c r="F576" s="30" t="n"/>
      <c r="G576" s="30">
        <f>IF(A576="","",MONTH(A576))</f>
        <v/>
      </c>
    </row>
    <row r="577">
      <c r="A577" s="29" t="n"/>
      <c r="B577" s="30" t="n"/>
      <c r="C577" s="30" t="n"/>
      <c r="D577" s="30" t="n"/>
      <c r="E577" s="31" t="n"/>
      <c r="F577" s="30" t="n"/>
      <c r="G577" s="30">
        <f>IF(A577="","",MONTH(A577))</f>
        <v/>
      </c>
    </row>
    <row r="578">
      <c r="A578" s="29" t="n"/>
      <c r="B578" s="30" t="n"/>
      <c r="C578" s="30" t="n"/>
      <c r="D578" s="30" t="n"/>
      <c r="E578" s="31" t="n"/>
      <c r="F578" s="30" t="n"/>
      <c r="G578" s="30">
        <f>IF(A578="","",MONTH(A578))</f>
        <v/>
      </c>
    </row>
    <row r="579">
      <c r="A579" s="29" t="n"/>
      <c r="B579" s="30" t="n"/>
      <c r="C579" s="30" t="n"/>
      <c r="D579" s="30" t="n"/>
      <c r="E579" s="31" t="n"/>
      <c r="F579" s="30" t="n"/>
      <c r="G579" s="30">
        <f>IF(A579="","",MONTH(A579))</f>
        <v/>
      </c>
    </row>
    <row r="580">
      <c r="A580" s="29" t="n"/>
      <c r="B580" s="30" t="n"/>
      <c r="C580" s="30" t="n"/>
      <c r="D580" s="30" t="n"/>
      <c r="E580" s="31" t="n"/>
      <c r="F580" s="30" t="n"/>
      <c r="G580" s="30">
        <f>IF(A580="","",MONTH(A580))</f>
        <v/>
      </c>
    </row>
    <row r="581">
      <c r="A581" s="29" t="n"/>
      <c r="B581" s="30" t="n"/>
      <c r="C581" s="30" t="n"/>
      <c r="D581" s="30" t="n"/>
      <c r="E581" s="31" t="n"/>
      <c r="F581" s="30" t="n"/>
      <c r="G581" s="30">
        <f>IF(A581="","",MONTH(A581))</f>
        <v/>
      </c>
    </row>
    <row r="582">
      <c r="A582" s="29" t="n"/>
      <c r="B582" s="30" t="n"/>
      <c r="C582" s="30" t="n"/>
      <c r="D582" s="30" t="n"/>
      <c r="E582" s="31" t="n"/>
      <c r="F582" s="30" t="n"/>
      <c r="G582" s="30">
        <f>IF(A582="","",MONTH(A582))</f>
        <v/>
      </c>
    </row>
    <row r="583">
      <c r="A583" s="29" t="n"/>
      <c r="B583" s="30" t="n"/>
      <c r="C583" s="30" t="n"/>
      <c r="D583" s="30" t="n"/>
      <c r="E583" s="31" t="n"/>
      <c r="F583" s="30" t="n"/>
      <c r="G583" s="30">
        <f>IF(A583="","",MONTH(A583))</f>
        <v/>
      </c>
    </row>
    <row r="584">
      <c r="A584" s="29" t="n"/>
      <c r="B584" s="30" t="n"/>
      <c r="C584" s="30" t="n"/>
      <c r="D584" s="30" t="n"/>
      <c r="E584" s="31" t="n"/>
      <c r="F584" s="30" t="n"/>
      <c r="G584" s="30">
        <f>IF(A584="","",MONTH(A584))</f>
        <v/>
      </c>
    </row>
    <row r="585">
      <c r="A585" s="29" t="n"/>
      <c r="B585" s="30" t="n"/>
      <c r="C585" s="30" t="n"/>
      <c r="D585" s="30" t="n"/>
      <c r="E585" s="31" t="n"/>
      <c r="F585" s="30" t="n"/>
      <c r="G585" s="30">
        <f>IF(A585="","",MONTH(A585))</f>
        <v/>
      </c>
    </row>
    <row r="586">
      <c r="A586" s="29" t="n"/>
      <c r="B586" s="30" t="n"/>
      <c r="C586" s="30" t="n"/>
      <c r="D586" s="30" t="n"/>
      <c r="E586" s="31" t="n"/>
      <c r="F586" s="30" t="n"/>
      <c r="G586" s="30">
        <f>IF(A586="","",MONTH(A586))</f>
        <v/>
      </c>
    </row>
    <row r="587">
      <c r="A587" s="29" t="n"/>
      <c r="B587" s="30" t="n"/>
      <c r="C587" s="30" t="n"/>
      <c r="D587" s="30" t="n"/>
      <c r="E587" s="31" t="n"/>
      <c r="F587" s="30" t="n"/>
      <c r="G587" s="30">
        <f>IF(A587="","",MONTH(A587))</f>
        <v/>
      </c>
    </row>
    <row r="588">
      <c r="A588" s="29" t="n"/>
      <c r="B588" s="30" t="n"/>
      <c r="C588" s="30" t="n"/>
      <c r="D588" s="30" t="n"/>
      <c r="E588" s="31" t="n"/>
      <c r="F588" s="30" t="n"/>
      <c r="G588" s="30">
        <f>IF(A588="","",MONTH(A588))</f>
        <v/>
      </c>
    </row>
    <row r="589">
      <c r="A589" s="29" t="n"/>
      <c r="B589" s="30" t="n"/>
      <c r="C589" s="30" t="n"/>
      <c r="D589" s="30" t="n"/>
      <c r="E589" s="31" t="n"/>
      <c r="F589" s="30" t="n"/>
      <c r="G589" s="30">
        <f>IF(A589="","",MONTH(A589))</f>
        <v/>
      </c>
    </row>
    <row r="590">
      <c r="A590" s="29" t="n"/>
      <c r="B590" s="30" t="n"/>
      <c r="C590" s="30" t="n"/>
      <c r="D590" s="30" t="n"/>
      <c r="E590" s="31" t="n"/>
      <c r="F590" s="30" t="n"/>
      <c r="G590" s="30">
        <f>IF(A590="","",MONTH(A590))</f>
        <v/>
      </c>
    </row>
    <row r="591">
      <c r="A591" s="29" t="n"/>
      <c r="B591" s="30" t="n"/>
      <c r="C591" s="30" t="n"/>
      <c r="D591" s="30" t="n"/>
      <c r="E591" s="31" t="n"/>
      <c r="F591" s="30" t="n"/>
      <c r="G591" s="30">
        <f>IF(A591="","",MONTH(A591))</f>
        <v/>
      </c>
    </row>
    <row r="592">
      <c r="A592" s="29" t="n"/>
      <c r="B592" s="30" t="n"/>
      <c r="C592" s="30" t="n"/>
      <c r="D592" s="30" t="n"/>
      <c r="E592" s="31" t="n"/>
      <c r="F592" s="30" t="n"/>
      <c r="G592" s="30">
        <f>IF(A592="","",MONTH(A592))</f>
        <v/>
      </c>
    </row>
    <row r="593">
      <c r="A593" s="29" t="n"/>
      <c r="B593" s="30" t="n"/>
      <c r="C593" s="30" t="n"/>
      <c r="D593" s="30" t="n"/>
      <c r="E593" s="31" t="n"/>
      <c r="F593" s="30" t="n"/>
      <c r="G593" s="30">
        <f>IF(A593="","",MONTH(A593))</f>
        <v/>
      </c>
    </row>
    <row r="594">
      <c r="A594" s="29" t="n"/>
      <c r="B594" s="30" t="n"/>
      <c r="C594" s="30" t="n"/>
      <c r="D594" s="30" t="n"/>
      <c r="E594" s="31" t="n"/>
      <c r="F594" s="30" t="n"/>
      <c r="G594" s="30">
        <f>IF(A594="","",MONTH(A594))</f>
        <v/>
      </c>
    </row>
    <row r="595">
      <c r="A595" s="29" t="n"/>
      <c r="B595" s="30" t="n"/>
      <c r="C595" s="30" t="n"/>
      <c r="D595" s="30" t="n"/>
      <c r="E595" s="31" t="n"/>
      <c r="F595" s="30" t="n"/>
      <c r="G595" s="30">
        <f>IF(A595="","",MONTH(A595))</f>
        <v/>
      </c>
    </row>
    <row r="596">
      <c r="A596" s="29" t="n"/>
      <c r="B596" s="30" t="n"/>
      <c r="C596" s="30" t="n"/>
      <c r="D596" s="30" t="n"/>
      <c r="E596" s="31" t="n"/>
      <c r="F596" s="30" t="n"/>
      <c r="G596" s="30">
        <f>IF(A596="","",MONTH(A596))</f>
        <v/>
      </c>
    </row>
    <row r="597">
      <c r="A597" s="29" t="n"/>
      <c r="B597" s="30" t="n"/>
      <c r="C597" s="30" t="n"/>
      <c r="D597" s="30" t="n"/>
      <c r="E597" s="31" t="n"/>
      <c r="F597" s="30" t="n"/>
      <c r="G597" s="30">
        <f>IF(A597="","",MONTH(A597))</f>
        <v/>
      </c>
    </row>
    <row r="598">
      <c r="A598" s="29" t="n"/>
      <c r="B598" s="30" t="n"/>
      <c r="C598" s="30" t="n"/>
      <c r="D598" s="30" t="n"/>
      <c r="E598" s="31" t="n"/>
      <c r="F598" s="30" t="n"/>
      <c r="G598" s="30">
        <f>IF(A598="","",MONTH(A598))</f>
        <v/>
      </c>
    </row>
    <row r="599">
      <c r="A599" s="29" t="n"/>
      <c r="B599" s="30" t="n"/>
      <c r="C599" s="30" t="n"/>
      <c r="D599" s="30" t="n"/>
      <c r="E599" s="31" t="n"/>
      <c r="F599" s="30" t="n"/>
      <c r="G599" s="30">
        <f>IF(A599="","",MONTH(A599))</f>
        <v/>
      </c>
    </row>
    <row r="600">
      <c r="A600" s="29" t="n"/>
      <c r="B600" s="30" t="n"/>
      <c r="C600" s="30" t="n"/>
      <c r="D600" s="30" t="n"/>
      <c r="E600" s="31" t="n"/>
      <c r="F600" s="30" t="n"/>
      <c r="G600" s="30">
        <f>IF(A600="","",MONTH(A600))</f>
        <v/>
      </c>
    </row>
    <row r="601">
      <c r="A601" s="29" t="n"/>
      <c r="B601" s="30" t="n"/>
      <c r="C601" s="30" t="n"/>
      <c r="D601" s="30" t="n"/>
      <c r="E601" s="31" t="n"/>
      <c r="F601" s="30" t="n"/>
      <c r="G601" s="30">
        <f>IF(A601="","",MONTH(A601))</f>
        <v/>
      </c>
    </row>
    <row r="602">
      <c r="A602" s="29" t="n"/>
      <c r="B602" s="30" t="n"/>
      <c r="C602" s="30" t="n"/>
      <c r="D602" s="30" t="n"/>
      <c r="E602" s="31" t="n"/>
      <c r="F602" s="30" t="n"/>
      <c r="G602" s="30">
        <f>IF(A602="","",MONTH(A602))</f>
        <v/>
      </c>
    </row>
    <row r="603">
      <c r="A603" s="29" t="n"/>
      <c r="B603" s="30" t="n"/>
      <c r="C603" s="30" t="n"/>
      <c r="D603" s="30" t="n"/>
      <c r="E603" s="31" t="n"/>
      <c r="F603" s="30" t="n"/>
      <c r="G603" s="30">
        <f>IF(A603="","",MONTH(A603))</f>
        <v/>
      </c>
    </row>
    <row r="604">
      <c r="A604" s="29" t="n"/>
      <c r="B604" s="30" t="n"/>
      <c r="C604" s="30" t="n"/>
      <c r="D604" s="30" t="n"/>
      <c r="E604" s="31" t="n"/>
      <c r="F604" s="30" t="n"/>
      <c r="G604" s="30">
        <f>IF(A604="","",MONTH(A604))</f>
        <v/>
      </c>
    </row>
    <row r="605">
      <c r="A605" s="29" t="n"/>
      <c r="B605" s="30" t="n"/>
      <c r="C605" s="30" t="n"/>
      <c r="D605" s="30" t="n"/>
      <c r="E605" s="31" t="n"/>
      <c r="F605" s="30" t="n"/>
      <c r="G605" s="30">
        <f>IF(A605="","",MONTH(A605))</f>
        <v/>
      </c>
    </row>
    <row r="606">
      <c r="A606" s="29" t="n"/>
      <c r="B606" s="30" t="n"/>
      <c r="C606" s="30" t="n"/>
      <c r="D606" s="30" t="n"/>
      <c r="E606" s="31" t="n"/>
      <c r="F606" s="30" t="n"/>
      <c r="G606" s="30">
        <f>IF(A606="","",MONTH(A606))</f>
        <v/>
      </c>
    </row>
    <row r="607">
      <c r="A607" s="29" t="n"/>
      <c r="B607" s="30" t="n"/>
      <c r="C607" s="30" t="n"/>
      <c r="D607" s="30" t="n"/>
      <c r="E607" s="31" t="n"/>
      <c r="F607" s="30" t="n"/>
      <c r="G607" s="30">
        <f>IF(A607="","",MONTH(A607))</f>
        <v/>
      </c>
    </row>
    <row r="608">
      <c r="A608" s="29" t="n"/>
      <c r="B608" s="30" t="n"/>
      <c r="C608" s="30" t="n"/>
      <c r="D608" s="30" t="n"/>
      <c r="E608" s="31" t="n"/>
      <c r="F608" s="30" t="n"/>
      <c r="G608" s="30">
        <f>IF(A608="","",MONTH(A608))</f>
        <v/>
      </c>
    </row>
    <row r="609">
      <c r="A609" s="29" t="n"/>
      <c r="B609" s="30" t="n"/>
      <c r="C609" s="30" t="n"/>
      <c r="D609" s="30" t="n"/>
      <c r="E609" s="31" t="n"/>
      <c r="F609" s="30" t="n"/>
      <c r="G609" s="30">
        <f>IF(A609="","",MONTH(A609))</f>
        <v/>
      </c>
    </row>
    <row r="610">
      <c r="A610" s="29" t="n"/>
      <c r="B610" s="30" t="n"/>
      <c r="C610" s="30" t="n"/>
      <c r="D610" s="30" t="n"/>
      <c r="E610" s="31" t="n"/>
      <c r="F610" s="30" t="n"/>
      <c r="G610" s="30">
        <f>IF(A610="","",MONTH(A610))</f>
        <v/>
      </c>
    </row>
    <row r="611">
      <c r="A611" s="29" t="n"/>
      <c r="B611" s="30" t="n"/>
      <c r="C611" s="30" t="n"/>
      <c r="D611" s="30" t="n"/>
      <c r="E611" s="31" t="n"/>
      <c r="F611" s="30" t="n"/>
      <c r="G611" s="30">
        <f>IF(A611="","",MONTH(A611))</f>
        <v/>
      </c>
    </row>
    <row r="612">
      <c r="A612" s="29" t="n"/>
      <c r="B612" s="30" t="n"/>
      <c r="C612" s="30" t="n"/>
      <c r="D612" s="30" t="n"/>
      <c r="E612" s="31" t="n"/>
      <c r="F612" s="30" t="n"/>
      <c r="G612" s="30">
        <f>IF(A612="","",MONTH(A612))</f>
        <v/>
      </c>
    </row>
    <row r="613">
      <c r="A613" s="29" t="n"/>
      <c r="B613" s="30" t="n"/>
      <c r="C613" s="30" t="n"/>
      <c r="D613" s="30" t="n"/>
      <c r="E613" s="31" t="n"/>
      <c r="F613" s="30" t="n"/>
      <c r="G613" s="30">
        <f>IF(A613="","",MONTH(A613))</f>
        <v/>
      </c>
    </row>
    <row r="614">
      <c r="A614" s="29" t="n"/>
      <c r="B614" s="30" t="n"/>
      <c r="C614" s="30" t="n"/>
      <c r="D614" s="30" t="n"/>
      <c r="E614" s="31" t="n"/>
      <c r="F614" s="30" t="n"/>
      <c r="G614" s="30">
        <f>IF(A614="","",MONTH(A614))</f>
        <v/>
      </c>
    </row>
    <row r="615">
      <c r="A615" s="29" t="n"/>
      <c r="B615" s="30" t="n"/>
      <c r="C615" s="30" t="n"/>
      <c r="D615" s="30" t="n"/>
      <c r="E615" s="31" t="n"/>
      <c r="F615" s="30" t="n"/>
      <c r="G615" s="30">
        <f>IF(A615="","",MONTH(A615))</f>
        <v/>
      </c>
    </row>
    <row r="616">
      <c r="A616" s="29" t="n"/>
      <c r="B616" s="30" t="n"/>
      <c r="C616" s="30" t="n"/>
      <c r="D616" s="30" t="n"/>
      <c r="E616" s="31" t="n"/>
      <c r="F616" s="30" t="n"/>
      <c r="G616" s="30">
        <f>IF(A616="","",MONTH(A616))</f>
        <v/>
      </c>
    </row>
    <row r="617">
      <c r="A617" s="29" t="n"/>
      <c r="B617" s="30" t="n"/>
      <c r="C617" s="30" t="n"/>
      <c r="D617" s="30" t="n"/>
      <c r="E617" s="31" t="n"/>
      <c r="F617" s="30" t="n"/>
      <c r="G617" s="30">
        <f>IF(A617="","",MONTH(A617))</f>
        <v/>
      </c>
    </row>
    <row r="618">
      <c r="A618" s="29" t="n"/>
      <c r="B618" s="30" t="n"/>
      <c r="C618" s="30" t="n"/>
      <c r="D618" s="30" t="n"/>
      <c r="E618" s="31" t="n"/>
      <c r="F618" s="30" t="n"/>
      <c r="G618" s="30">
        <f>IF(A618="","",MONTH(A618))</f>
        <v/>
      </c>
    </row>
    <row r="619">
      <c r="A619" s="29" t="n"/>
      <c r="B619" s="30" t="n"/>
      <c r="C619" s="30" t="n"/>
      <c r="D619" s="30" t="n"/>
      <c r="E619" s="31" t="n"/>
      <c r="F619" s="30" t="n"/>
      <c r="G619" s="30">
        <f>IF(A619="","",MONTH(A619))</f>
        <v/>
      </c>
    </row>
    <row r="620">
      <c r="A620" s="29" t="n"/>
      <c r="B620" s="30" t="n"/>
      <c r="C620" s="30" t="n"/>
      <c r="D620" s="30" t="n"/>
      <c r="E620" s="31" t="n"/>
      <c r="F620" s="30" t="n"/>
      <c r="G620" s="30">
        <f>IF(A620="","",MONTH(A620))</f>
        <v/>
      </c>
    </row>
    <row r="621">
      <c r="A621" s="29" t="n"/>
      <c r="B621" s="30" t="n"/>
      <c r="C621" s="30" t="n"/>
      <c r="D621" s="30" t="n"/>
      <c r="E621" s="31" t="n"/>
      <c r="F621" s="30" t="n"/>
      <c r="G621" s="30">
        <f>IF(A621="","",MONTH(A621))</f>
        <v/>
      </c>
    </row>
    <row r="622">
      <c r="A622" s="29" t="n"/>
      <c r="B622" s="30" t="n"/>
      <c r="C622" s="30" t="n"/>
      <c r="D622" s="30" t="n"/>
      <c r="E622" s="31" t="n"/>
      <c r="F622" s="30" t="n"/>
      <c r="G622" s="30">
        <f>IF(A622="","",MONTH(A622))</f>
        <v/>
      </c>
    </row>
    <row r="623">
      <c r="A623" s="29" t="n"/>
      <c r="B623" s="30" t="n"/>
      <c r="C623" s="30" t="n"/>
      <c r="D623" s="30" t="n"/>
      <c r="E623" s="31" t="n"/>
      <c r="F623" s="30" t="n"/>
      <c r="G623" s="30">
        <f>IF(A623="","",MONTH(A623))</f>
        <v/>
      </c>
    </row>
    <row r="624">
      <c r="A624" s="29" t="n"/>
      <c r="B624" s="30" t="n"/>
      <c r="C624" s="30" t="n"/>
      <c r="D624" s="30" t="n"/>
      <c r="E624" s="31" t="n"/>
      <c r="F624" s="30" t="n"/>
      <c r="G624" s="30">
        <f>IF(A624="","",MONTH(A624))</f>
        <v/>
      </c>
    </row>
    <row r="625">
      <c r="A625" s="29" t="n"/>
      <c r="B625" s="30" t="n"/>
      <c r="C625" s="30" t="n"/>
      <c r="D625" s="30" t="n"/>
      <c r="E625" s="31" t="n"/>
      <c r="F625" s="30" t="n"/>
      <c r="G625" s="30">
        <f>IF(A625="","",MONTH(A625))</f>
        <v/>
      </c>
    </row>
    <row r="626">
      <c r="A626" s="29" t="n"/>
      <c r="B626" s="30" t="n"/>
      <c r="C626" s="30" t="n"/>
      <c r="D626" s="30" t="n"/>
      <c r="E626" s="31" t="n"/>
      <c r="F626" s="30" t="n"/>
      <c r="G626" s="30">
        <f>IF(A626="","",MONTH(A626))</f>
        <v/>
      </c>
    </row>
    <row r="627">
      <c r="A627" s="29" t="n"/>
      <c r="B627" s="30" t="n"/>
      <c r="C627" s="30" t="n"/>
      <c r="D627" s="30" t="n"/>
      <c r="E627" s="31" t="n"/>
      <c r="F627" s="30" t="n"/>
      <c r="G627" s="30">
        <f>IF(A627="","",MONTH(A627))</f>
        <v/>
      </c>
    </row>
    <row r="628">
      <c r="A628" s="29" t="n"/>
      <c r="B628" s="30" t="n"/>
      <c r="C628" s="30" t="n"/>
      <c r="D628" s="30" t="n"/>
      <c r="E628" s="31" t="n"/>
      <c r="F628" s="30" t="n"/>
      <c r="G628" s="30">
        <f>IF(A628="","",MONTH(A628))</f>
        <v/>
      </c>
    </row>
    <row r="629">
      <c r="A629" s="29" t="n"/>
      <c r="B629" s="30" t="n"/>
      <c r="C629" s="30" t="n"/>
      <c r="D629" s="30" t="n"/>
      <c r="E629" s="31" t="n"/>
      <c r="F629" s="30" t="n"/>
      <c r="G629" s="30">
        <f>IF(A629="","",MONTH(A629))</f>
        <v/>
      </c>
    </row>
    <row r="630">
      <c r="A630" s="29" t="n"/>
      <c r="B630" s="30" t="n"/>
      <c r="C630" s="30" t="n"/>
      <c r="D630" s="30" t="n"/>
      <c r="E630" s="31" t="n"/>
      <c r="F630" s="30" t="n"/>
      <c r="G630" s="30">
        <f>IF(A630="","",MONTH(A630))</f>
        <v/>
      </c>
    </row>
    <row r="631">
      <c r="A631" s="29" t="n"/>
      <c r="B631" s="30" t="n"/>
      <c r="C631" s="30" t="n"/>
      <c r="D631" s="30" t="n"/>
      <c r="E631" s="31" t="n"/>
      <c r="F631" s="30" t="n"/>
      <c r="G631" s="30">
        <f>IF(A631="","",MONTH(A631))</f>
        <v/>
      </c>
    </row>
    <row r="632">
      <c r="A632" s="29" t="n"/>
      <c r="B632" s="30" t="n"/>
      <c r="C632" s="30" t="n"/>
      <c r="D632" s="30" t="n"/>
      <c r="E632" s="31" t="n"/>
      <c r="F632" s="30" t="n"/>
      <c r="G632" s="30">
        <f>IF(A632="","",MONTH(A632))</f>
        <v/>
      </c>
    </row>
    <row r="633">
      <c r="A633" s="29" t="n"/>
      <c r="B633" s="30" t="n"/>
      <c r="C633" s="30" t="n"/>
      <c r="D633" s="30" t="n"/>
      <c r="E633" s="31" t="n"/>
      <c r="F633" s="30" t="n"/>
      <c r="G633" s="30">
        <f>IF(A633="","",MONTH(A633))</f>
        <v/>
      </c>
    </row>
    <row r="634">
      <c r="A634" s="29" t="n"/>
      <c r="B634" s="30" t="n"/>
      <c r="C634" s="30" t="n"/>
      <c r="D634" s="30" t="n"/>
      <c r="E634" s="31" t="n"/>
      <c r="F634" s="30" t="n"/>
      <c r="G634" s="30">
        <f>IF(A634="","",MONTH(A634))</f>
        <v/>
      </c>
    </row>
    <row r="635">
      <c r="A635" s="29" t="n"/>
      <c r="B635" s="30" t="n"/>
      <c r="C635" s="30" t="n"/>
      <c r="D635" s="30" t="n"/>
      <c r="E635" s="31" t="n"/>
      <c r="F635" s="30" t="n"/>
      <c r="G635" s="30">
        <f>IF(A635="","",MONTH(A635))</f>
        <v/>
      </c>
    </row>
    <row r="636">
      <c r="A636" s="29" t="n"/>
      <c r="B636" s="30" t="n"/>
      <c r="C636" s="30" t="n"/>
      <c r="D636" s="30" t="n"/>
      <c r="E636" s="31" t="n"/>
      <c r="F636" s="30" t="n"/>
      <c r="G636" s="30">
        <f>IF(A636="","",MONTH(A636))</f>
        <v/>
      </c>
    </row>
    <row r="637">
      <c r="A637" s="29" t="n"/>
      <c r="B637" s="30" t="n"/>
      <c r="C637" s="30" t="n"/>
      <c r="D637" s="30" t="n"/>
      <c r="E637" s="31" t="n"/>
      <c r="F637" s="30" t="n"/>
      <c r="G637" s="30">
        <f>IF(A637="","",MONTH(A637))</f>
        <v/>
      </c>
    </row>
    <row r="638">
      <c r="A638" s="29" t="n"/>
      <c r="B638" s="30" t="n"/>
      <c r="C638" s="30" t="n"/>
      <c r="D638" s="30" t="n"/>
      <c r="E638" s="31" t="n"/>
      <c r="F638" s="30" t="n"/>
      <c r="G638" s="30">
        <f>IF(A638="","",MONTH(A638))</f>
        <v/>
      </c>
    </row>
    <row r="639">
      <c r="A639" s="29" t="n"/>
      <c r="B639" s="30" t="n"/>
      <c r="C639" s="30" t="n"/>
      <c r="D639" s="30" t="n"/>
      <c r="E639" s="31" t="n"/>
      <c r="F639" s="30" t="n"/>
      <c r="G639" s="30">
        <f>IF(A639="","",MONTH(A639))</f>
        <v/>
      </c>
    </row>
    <row r="640">
      <c r="A640" s="29" t="n"/>
      <c r="B640" s="30" t="n"/>
      <c r="C640" s="30" t="n"/>
      <c r="D640" s="30" t="n"/>
      <c r="E640" s="31" t="n"/>
      <c r="F640" s="30" t="n"/>
      <c r="G640" s="30">
        <f>IF(A640="","",MONTH(A640))</f>
        <v/>
      </c>
    </row>
    <row r="641">
      <c r="A641" s="29" t="n"/>
      <c r="B641" s="30" t="n"/>
      <c r="C641" s="30" t="n"/>
      <c r="D641" s="30" t="n"/>
      <c r="E641" s="31" t="n"/>
      <c r="F641" s="30" t="n"/>
      <c r="G641" s="30">
        <f>IF(A641="","",MONTH(A641))</f>
        <v/>
      </c>
    </row>
    <row r="642">
      <c r="A642" s="29" t="n"/>
      <c r="B642" s="30" t="n"/>
      <c r="C642" s="30" t="n"/>
      <c r="D642" s="30" t="n"/>
      <c r="E642" s="31" t="n"/>
      <c r="F642" s="30" t="n"/>
      <c r="G642" s="30">
        <f>IF(A642="","",MONTH(A642))</f>
        <v/>
      </c>
    </row>
    <row r="643">
      <c r="A643" s="29" t="n"/>
      <c r="B643" s="30" t="n"/>
      <c r="C643" s="30" t="n"/>
      <c r="D643" s="30" t="n"/>
      <c r="E643" s="31" t="n"/>
      <c r="F643" s="30" t="n"/>
      <c r="G643" s="30">
        <f>IF(A643="","",MONTH(A643))</f>
        <v/>
      </c>
    </row>
    <row r="644">
      <c r="A644" s="29" t="n"/>
      <c r="B644" s="30" t="n"/>
      <c r="C644" s="30" t="n"/>
      <c r="D644" s="30" t="n"/>
      <c r="E644" s="31" t="n"/>
      <c r="F644" s="30" t="n"/>
      <c r="G644" s="30">
        <f>IF(A644="","",MONTH(A644))</f>
        <v/>
      </c>
    </row>
    <row r="645">
      <c r="A645" s="29" t="n"/>
      <c r="B645" s="30" t="n"/>
      <c r="C645" s="30" t="n"/>
      <c r="D645" s="30" t="n"/>
      <c r="E645" s="31" t="n"/>
      <c r="F645" s="30" t="n"/>
      <c r="G645" s="30">
        <f>IF(A645="","",MONTH(A645))</f>
        <v/>
      </c>
    </row>
    <row r="646">
      <c r="A646" s="29" t="n"/>
      <c r="B646" s="30" t="n"/>
      <c r="C646" s="30" t="n"/>
      <c r="D646" s="30" t="n"/>
      <c r="E646" s="31" t="n"/>
      <c r="F646" s="30" t="n"/>
      <c r="G646" s="30">
        <f>IF(A646="","",MONTH(A646))</f>
        <v/>
      </c>
    </row>
    <row r="647">
      <c r="A647" s="29" t="n"/>
      <c r="B647" s="30" t="n"/>
      <c r="C647" s="30" t="n"/>
      <c r="D647" s="30" t="n"/>
      <c r="E647" s="31" t="n"/>
      <c r="F647" s="30" t="n"/>
      <c r="G647" s="30">
        <f>IF(A647="","",MONTH(A647))</f>
        <v/>
      </c>
    </row>
    <row r="648">
      <c r="A648" s="29" t="n"/>
      <c r="B648" s="30" t="n"/>
      <c r="C648" s="30" t="n"/>
      <c r="D648" s="30" t="n"/>
      <c r="E648" s="31" t="n"/>
      <c r="F648" s="30" t="n"/>
      <c r="G648" s="30">
        <f>IF(A648="","",MONTH(A648))</f>
        <v/>
      </c>
    </row>
    <row r="649">
      <c r="A649" s="29" t="n"/>
      <c r="B649" s="30" t="n"/>
      <c r="C649" s="30" t="n"/>
      <c r="D649" s="30" t="n"/>
      <c r="E649" s="31" t="n"/>
      <c r="F649" s="30" t="n"/>
      <c r="G649" s="30">
        <f>IF(A649="","",MONTH(A649))</f>
        <v/>
      </c>
    </row>
    <row r="650">
      <c r="A650" s="29" t="n"/>
      <c r="B650" s="30" t="n"/>
      <c r="C650" s="30" t="n"/>
      <c r="D650" s="30" t="n"/>
      <c r="E650" s="31" t="n"/>
      <c r="F650" s="30" t="n"/>
      <c r="G650" s="30">
        <f>IF(A650="","",MONTH(A650))</f>
        <v/>
      </c>
    </row>
    <row r="651">
      <c r="A651" s="29" t="n"/>
      <c r="B651" s="30" t="n"/>
      <c r="C651" s="30" t="n"/>
      <c r="D651" s="30" t="n"/>
      <c r="E651" s="31" t="n"/>
      <c r="F651" s="30" t="n"/>
      <c r="G651" s="30">
        <f>IF(A651="","",MONTH(A651))</f>
        <v/>
      </c>
    </row>
    <row r="652">
      <c r="A652" s="29" t="n"/>
      <c r="B652" s="30" t="n"/>
      <c r="C652" s="30" t="n"/>
      <c r="D652" s="30" t="n"/>
      <c r="E652" s="31" t="n"/>
      <c r="F652" s="30" t="n"/>
      <c r="G652" s="30">
        <f>IF(A652="","",MONTH(A652))</f>
        <v/>
      </c>
    </row>
    <row r="653">
      <c r="A653" s="29" t="n"/>
      <c r="B653" s="30" t="n"/>
      <c r="C653" s="30" t="n"/>
      <c r="D653" s="30" t="n"/>
      <c r="E653" s="31" t="n"/>
      <c r="F653" s="30" t="n"/>
      <c r="G653" s="30">
        <f>IF(A653="","",MONTH(A653))</f>
        <v/>
      </c>
    </row>
    <row r="654">
      <c r="A654" s="29" t="n"/>
      <c r="B654" s="30" t="n"/>
      <c r="C654" s="30" t="n"/>
      <c r="D654" s="30" t="n"/>
      <c r="E654" s="31" t="n"/>
      <c r="F654" s="30" t="n"/>
      <c r="G654" s="30">
        <f>IF(A654="","",MONTH(A654))</f>
        <v/>
      </c>
    </row>
    <row r="655">
      <c r="A655" s="29" t="n"/>
      <c r="B655" s="30" t="n"/>
      <c r="C655" s="30" t="n"/>
      <c r="D655" s="30" t="n"/>
      <c r="E655" s="31" t="n"/>
      <c r="F655" s="30" t="n"/>
      <c r="G655" s="30">
        <f>IF(A655="","",MONTH(A655))</f>
        <v/>
      </c>
    </row>
    <row r="656">
      <c r="A656" s="29" t="n"/>
      <c r="B656" s="30" t="n"/>
      <c r="C656" s="30" t="n"/>
      <c r="D656" s="30" t="n"/>
      <c r="E656" s="31" t="n"/>
      <c r="F656" s="30" t="n"/>
      <c r="G656" s="30">
        <f>IF(A656="","",MONTH(A656))</f>
        <v/>
      </c>
    </row>
    <row r="657">
      <c r="A657" s="29" t="n"/>
      <c r="B657" s="30" t="n"/>
      <c r="C657" s="30" t="n"/>
      <c r="D657" s="30" t="n"/>
      <c r="E657" s="31" t="n"/>
      <c r="F657" s="30" t="n"/>
      <c r="G657" s="30">
        <f>IF(A657="","",MONTH(A657))</f>
        <v/>
      </c>
    </row>
    <row r="658">
      <c r="A658" s="29" t="n"/>
      <c r="B658" s="30" t="n"/>
      <c r="C658" s="30" t="n"/>
      <c r="D658" s="30" t="n"/>
      <c r="E658" s="31" t="n"/>
      <c r="F658" s="30" t="n"/>
      <c r="G658" s="30">
        <f>IF(A658="","",MONTH(A658))</f>
        <v/>
      </c>
    </row>
    <row r="659">
      <c r="A659" s="29" t="n"/>
      <c r="B659" s="30" t="n"/>
      <c r="C659" s="30" t="n"/>
      <c r="D659" s="30" t="n"/>
      <c r="E659" s="31" t="n"/>
      <c r="F659" s="30" t="n"/>
      <c r="G659" s="30">
        <f>IF(A659="","",MONTH(A659))</f>
        <v/>
      </c>
    </row>
    <row r="660">
      <c r="A660" s="29" t="n"/>
      <c r="B660" s="30" t="n"/>
      <c r="C660" s="30" t="n"/>
      <c r="D660" s="30" t="n"/>
      <c r="E660" s="31" t="n"/>
      <c r="F660" s="30" t="n"/>
      <c r="G660" s="30">
        <f>IF(A660="","",MONTH(A660))</f>
        <v/>
      </c>
    </row>
    <row r="661">
      <c r="A661" s="29" t="n"/>
      <c r="B661" s="30" t="n"/>
      <c r="C661" s="30" t="n"/>
      <c r="D661" s="30" t="n"/>
      <c r="E661" s="31" t="n"/>
      <c r="F661" s="30" t="n"/>
      <c r="G661" s="30">
        <f>IF(A661="","",MONTH(A661))</f>
        <v/>
      </c>
    </row>
    <row r="662">
      <c r="A662" s="29" t="n"/>
      <c r="B662" s="30" t="n"/>
      <c r="C662" s="30" t="n"/>
      <c r="D662" s="30" t="n"/>
      <c r="E662" s="31" t="n"/>
      <c r="F662" s="30" t="n"/>
      <c r="G662" s="30">
        <f>IF(A662="","",MONTH(A662))</f>
        <v/>
      </c>
    </row>
    <row r="663">
      <c r="A663" s="29" t="n"/>
      <c r="B663" s="30" t="n"/>
      <c r="C663" s="30" t="n"/>
      <c r="D663" s="30" t="n"/>
      <c r="E663" s="31" t="n"/>
      <c r="F663" s="30" t="n"/>
      <c r="G663" s="30">
        <f>IF(A663="","",MONTH(A663))</f>
        <v/>
      </c>
    </row>
    <row r="664">
      <c r="A664" s="29" t="n"/>
      <c r="B664" s="30" t="n"/>
      <c r="C664" s="30" t="n"/>
      <c r="D664" s="30" t="n"/>
      <c r="E664" s="31" t="n"/>
      <c r="F664" s="30" t="n"/>
      <c r="G664" s="30">
        <f>IF(A664="","",MONTH(A664))</f>
        <v/>
      </c>
    </row>
    <row r="665">
      <c r="A665" s="29" t="n"/>
      <c r="B665" s="30" t="n"/>
      <c r="C665" s="30" t="n"/>
      <c r="D665" s="30" t="n"/>
      <c r="E665" s="31" t="n"/>
      <c r="F665" s="30" t="n"/>
      <c r="G665" s="30">
        <f>IF(A665="","",MONTH(A665))</f>
        <v/>
      </c>
    </row>
    <row r="666">
      <c r="A666" s="29" t="n"/>
      <c r="B666" s="30" t="n"/>
      <c r="C666" s="30" t="n"/>
      <c r="D666" s="30" t="n"/>
      <c r="E666" s="31" t="n"/>
      <c r="F666" s="30" t="n"/>
      <c r="G666" s="30">
        <f>IF(A666="","",MONTH(A666))</f>
        <v/>
      </c>
    </row>
    <row r="667">
      <c r="A667" s="29" t="n"/>
      <c r="B667" s="30" t="n"/>
      <c r="C667" s="30" t="n"/>
      <c r="D667" s="30" t="n"/>
      <c r="E667" s="31" t="n"/>
      <c r="F667" s="30" t="n"/>
      <c r="G667" s="30">
        <f>IF(A667="","",MONTH(A667))</f>
        <v/>
      </c>
    </row>
    <row r="668">
      <c r="A668" s="29" t="n"/>
      <c r="B668" s="30" t="n"/>
      <c r="C668" s="30" t="n"/>
      <c r="D668" s="30" t="n"/>
      <c r="E668" s="31" t="n"/>
      <c r="F668" s="30" t="n"/>
      <c r="G668" s="30">
        <f>IF(A668="","",MONTH(A668))</f>
        <v/>
      </c>
    </row>
    <row r="669">
      <c r="A669" s="29" t="n"/>
      <c r="B669" s="30" t="n"/>
      <c r="C669" s="30" t="n"/>
      <c r="D669" s="30" t="n"/>
      <c r="E669" s="31" t="n"/>
      <c r="F669" s="30" t="n"/>
      <c r="G669" s="30">
        <f>IF(A669="","",MONTH(A669))</f>
        <v/>
      </c>
    </row>
    <row r="670">
      <c r="A670" s="29" t="n"/>
      <c r="B670" s="30" t="n"/>
      <c r="C670" s="30" t="n"/>
      <c r="D670" s="30" t="n"/>
      <c r="E670" s="31" t="n"/>
      <c r="F670" s="30" t="n"/>
      <c r="G670" s="30">
        <f>IF(A670="","",MONTH(A670))</f>
        <v/>
      </c>
    </row>
    <row r="671">
      <c r="A671" s="29" t="n"/>
      <c r="B671" s="30" t="n"/>
      <c r="C671" s="30" t="n"/>
      <c r="D671" s="30" t="n"/>
      <c r="E671" s="31" t="n"/>
      <c r="F671" s="30" t="n"/>
      <c r="G671" s="30">
        <f>IF(A671="","",MONTH(A671))</f>
        <v/>
      </c>
    </row>
    <row r="672">
      <c r="A672" s="29" t="n"/>
      <c r="B672" s="30" t="n"/>
      <c r="C672" s="30" t="n"/>
      <c r="D672" s="30" t="n"/>
      <c r="E672" s="31" t="n"/>
      <c r="F672" s="30" t="n"/>
      <c r="G672" s="30">
        <f>IF(A672="","",MONTH(A672))</f>
        <v/>
      </c>
    </row>
    <row r="673">
      <c r="A673" s="29" t="n"/>
      <c r="B673" s="30" t="n"/>
      <c r="C673" s="30" t="n"/>
      <c r="D673" s="30" t="n"/>
      <c r="E673" s="31" t="n"/>
      <c r="F673" s="30" t="n"/>
      <c r="G673" s="30">
        <f>IF(A673="","",MONTH(A673))</f>
        <v/>
      </c>
    </row>
    <row r="674">
      <c r="A674" s="29" t="n"/>
      <c r="B674" s="30" t="n"/>
      <c r="C674" s="30" t="n"/>
      <c r="D674" s="30" t="n"/>
      <c r="E674" s="31" t="n"/>
      <c r="F674" s="30" t="n"/>
      <c r="G674" s="30">
        <f>IF(A674="","",MONTH(A674))</f>
        <v/>
      </c>
    </row>
    <row r="675">
      <c r="A675" s="29" t="n"/>
      <c r="B675" s="30" t="n"/>
      <c r="C675" s="30" t="n"/>
      <c r="D675" s="30" t="n"/>
      <c r="E675" s="31" t="n"/>
      <c r="F675" s="30" t="n"/>
      <c r="G675" s="30">
        <f>IF(A675="","",MONTH(A675))</f>
        <v/>
      </c>
    </row>
    <row r="676">
      <c r="A676" s="29" t="n"/>
      <c r="B676" s="30" t="n"/>
      <c r="C676" s="30" t="n"/>
      <c r="D676" s="30" t="n"/>
      <c r="E676" s="31" t="n"/>
      <c r="F676" s="30" t="n"/>
      <c r="G676" s="30">
        <f>IF(A676="","",MONTH(A676))</f>
        <v/>
      </c>
    </row>
    <row r="677">
      <c r="A677" s="29" t="n"/>
      <c r="B677" s="30" t="n"/>
      <c r="C677" s="30" t="n"/>
      <c r="D677" s="30" t="n"/>
      <c r="E677" s="31" t="n"/>
      <c r="F677" s="30" t="n"/>
      <c r="G677" s="30">
        <f>IF(A677="","",MONTH(A677))</f>
        <v/>
      </c>
    </row>
    <row r="678">
      <c r="A678" s="29" t="n"/>
      <c r="B678" s="30" t="n"/>
      <c r="C678" s="30" t="n"/>
      <c r="D678" s="30" t="n"/>
      <c r="E678" s="31" t="n"/>
      <c r="F678" s="30" t="n"/>
      <c r="G678" s="30">
        <f>IF(A678="","",MONTH(A678))</f>
        <v/>
      </c>
    </row>
    <row r="679">
      <c r="A679" s="29" t="n"/>
      <c r="B679" s="30" t="n"/>
      <c r="C679" s="30" t="n"/>
      <c r="D679" s="30" t="n"/>
      <c r="E679" s="31" t="n"/>
      <c r="F679" s="30" t="n"/>
      <c r="G679" s="30">
        <f>IF(A679="","",MONTH(A679))</f>
        <v/>
      </c>
    </row>
    <row r="680">
      <c r="A680" s="29" t="n"/>
      <c r="B680" s="30" t="n"/>
      <c r="C680" s="30" t="n"/>
      <c r="D680" s="30" t="n"/>
      <c r="E680" s="31" t="n"/>
      <c r="F680" s="30" t="n"/>
      <c r="G680" s="30">
        <f>IF(A680="","",MONTH(A680))</f>
        <v/>
      </c>
    </row>
    <row r="681">
      <c r="A681" s="29" t="n"/>
      <c r="B681" s="30" t="n"/>
      <c r="C681" s="30" t="n"/>
      <c r="D681" s="30" t="n"/>
      <c r="E681" s="31" t="n"/>
      <c r="F681" s="30" t="n"/>
      <c r="G681" s="30">
        <f>IF(A681="","",MONTH(A681))</f>
        <v/>
      </c>
    </row>
    <row r="682">
      <c r="A682" s="29" t="n"/>
      <c r="B682" s="30" t="n"/>
      <c r="C682" s="30" t="n"/>
      <c r="D682" s="30" t="n"/>
      <c r="E682" s="31" t="n"/>
      <c r="F682" s="30" t="n"/>
      <c r="G682" s="30">
        <f>IF(A682="","",MONTH(A682))</f>
        <v/>
      </c>
    </row>
    <row r="683">
      <c r="A683" s="29" t="n"/>
      <c r="B683" s="30" t="n"/>
      <c r="C683" s="30" t="n"/>
      <c r="D683" s="30" t="n"/>
      <c r="E683" s="31" t="n"/>
      <c r="F683" s="30" t="n"/>
      <c r="G683" s="30">
        <f>IF(A683="","",MONTH(A683))</f>
        <v/>
      </c>
    </row>
    <row r="684">
      <c r="A684" s="29" t="n"/>
      <c r="B684" s="30" t="n"/>
      <c r="C684" s="30" t="n"/>
      <c r="D684" s="30" t="n"/>
      <c r="E684" s="31" t="n"/>
      <c r="F684" s="30" t="n"/>
      <c r="G684" s="30">
        <f>IF(A684="","",MONTH(A684))</f>
        <v/>
      </c>
    </row>
    <row r="685">
      <c r="A685" s="29" t="n"/>
      <c r="B685" s="30" t="n"/>
      <c r="C685" s="30" t="n"/>
      <c r="D685" s="30" t="n"/>
      <c r="E685" s="31" t="n"/>
      <c r="F685" s="30" t="n"/>
      <c r="G685" s="30">
        <f>IF(A685="","",MONTH(A685))</f>
        <v/>
      </c>
    </row>
    <row r="686">
      <c r="A686" s="29" t="n"/>
      <c r="B686" s="30" t="n"/>
      <c r="C686" s="30" t="n"/>
      <c r="D686" s="30" t="n"/>
      <c r="E686" s="31" t="n"/>
      <c r="F686" s="30" t="n"/>
      <c r="G686" s="30">
        <f>IF(A686="","",MONTH(A686))</f>
        <v/>
      </c>
    </row>
    <row r="687">
      <c r="A687" s="29" t="n"/>
      <c r="B687" s="30" t="n"/>
      <c r="C687" s="30" t="n"/>
      <c r="D687" s="30" t="n"/>
      <c r="E687" s="31" t="n"/>
      <c r="F687" s="30" t="n"/>
      <c r="G687" s="30">
        <f>IF(A687="","",MONTH(A687))</f>
        <v/>
      </c>
    </row>
    <row r="688">
      <c r="A688" s="29" t="n"/>
      <c r="B688" s="30" t="n"/>
      <c r="C688" s="30" t="n"/>
      <c r="D688" s="30" t="n"/>
      <c r="E688" s="31" t="n"/>
      <c r="F688" s="30" t="n"/>
      <c r="G688" s="30">
        <f>IF(A688="","",MONTH(A688))</f>
        <v/>
      </c>
    </row>
    <row r="689">
      <c r="A689" s="29" t="n"/>
      <c r="B689" s="30" t="n"/>
      <c r="C689" s="30" t="n"/>
      <c r="D689" s="30" t="n"/>
      <c r="E689" s="31" t="n"/>
      <c r="F689" s="30" t="n"/>
      <c r="G689" s="30">
        <f>IF(A689="","",MONTH(A689))</f>
        <v/>
      </c>
    </row>
    <row r="690">
      <c r="A690" s="29" t="n"/>
      <c r="B690" s="30" t="n"/>
      <c r="C690" s="30" t="n"/>
      <c r="D690" s="30" t="n"/>
      <c r="E690" s="31" t="n"/>
      <c r="F690" s="30" t="n"/>
      <c r="G690" s="30">
        <f>IF(A690="","",MONTH(A690))</f>
        <v/>
      </c>
    </row>
    <row r="691">
      <c r="A691" s="29" t="n"/>
      <c r="B691" s="30" t="n"/>
      <c r="C691" s="30" t="n"/>
      <c r="D691" s="30" t="n"/>
      <c r="E691" s="31" t="n"/>
      <c r="F691" s="30" t="n"/>
      <c r="G691" s="30">
        <f>IF(A691="","",MONTH(A691))</f>
        <v/>
      </c>
    </row>
    <row r="692">
      <c r="A692" s="29" t="n"/>
      <c r="B692" s="30" t="n"/>
      <c r="C692" s="30" t="n"/>
      <c r="D692" s="30" t="n"/>
      <c r="E692" s="31" t="n"/>
      <c r="F692" s="30" t="n"/>
      <c r="G692" s="30">
        <f>IF(A692="","",MONTH(A692))</f>
        <v/>
      </c>
    </row>
    <row r="693">
      <c r="A693" s="29" t="n"/>
      <c r="B693" s="30" t="n"/>
      <c r="C693" s="30" t="n"/>
      <c r="D693" s="30" t="n"/>
      <c r="E693" s="31" t="n"/>
      <c r="F693" s="30" t="n"/>
      <c r="G693" s="30">
        <f>IF(A693="","",MONTH(A693))</f>
        <v/>
      </c>
    </row>
    <row r="694">
      <c r="A694" s="29" t="n"/>
      <c r="B694" s="30" t="n"/>
      <c r="C694" s="30" t="n"/>
      <c r="D694" s="30" t="n"/>
      <c r="E694" s="31" t="n"/>
      <c r="F694" s="30" t="n"/>
      <c r="G694" s="30">
        <f>IF(A694="","",MONTH(A694))</f>
        <v/>
      </c>
    </row>
    <row r="695">
      <c r="A695" s="29" t="n"/>
      <c r="B695" s="30" t="n"/>
      <c r="C695" s="30" t="n"/>
      <c r="D695" s="30" t="n"/>
      <c r="E695" s="31" t="n"/>
      <c r="F695" s="30" t="n"/>
      <c r="G695" s="30">
        <f>IF(A695="","",MONTH(A695))</f>
        <v/>
      </c>
    </row>
    <row r="696">
      <c r="A696" s="29" t="n"/>
      <c r="B696" s="30" t="n"/>
      <c r="C696" s="30" t="n"/>
      <c r="D696" s="30" t="n"/>
      <c r="E696" s="31" t="n"/>
      <c r="F696" s="30" t="n"/>
      <c r="G696" s="30">
        <f>IF(A696="","",MONTH(A696))</f>
        <v/>
      </c>
    </row>
    <row r="697">
      <c r="A697" s="29" t="n"/>
      <c r="B697" s="30" t="n"/>
      <c r="C697" s="30" t="n"/>
      <c r="D697" s="30" t="n"/>
      <c r="E697" s="31" t="n"/>
      <c r="F697" s="30" t="n"/>
      <c r="G697" s="30">
        <f>IF(A697="","",MONTH(A697))</f>
        <v/>
      </c>
    </row>
    <row r="698">
      <c r="A698" s="29" t="n"/>
      <c r="B698" s="30" t="n"/>
      <c r="C698" s="30" t="n"/>
      <c r="D698" s="30" t="n"/>
      <c r="E698" s="31" t="n"/>
      <c r="F698" s="30" t="n"/>
      <c r="G698" s="30">
        <f>IF(A698="","",MONTH(A698))</f>
        <v/>
      </c>
    </row>
    <row r="699">
      <c r="A699" s="29" t="n"/>
      <c r="B699" s="30" t="n"/>
      <c r="C699" s="30" t="n"/>
      <c r="D699" s="30" t="n"/>
      <c r="E699" s="31" t="n"/>
      <c r="F699" s="30" t="n"/>
      <c r="G699" s="30">
        <f>IF(A699="","",MONTH(A699))</f>
        <v/>
      </c>
    </row>
    <row r="700">
      <c r="A700" s="29" t="n"/>
      <c r="B700" s="30" t="n"/>
      <c r="C700" s="30" t="n"/>
      <c r="D700" s="30" t="n"/>
      <c r="E700" s="31" t="n"/>
      <c r="F700" s="30" t="n"/>
      <c r="G700" s="30">
        <f>IF(A700="","",MONTH(A700))</f>
        <v/>
      </c>
    </row>
    <row r="701">
      <c r="A701" s="29" t="n"/>
      <c r="B701" s="30" t="n"/>
      <c r="C701" s="30" t="n"/>
      <c r="D701" s="30" t="n"/>
      <c r="E701" s="31" t="n"/>
      <c r="F701" s="30" t="n"/>
      <c r="G701" s="30">
        <f>IF(A701="","",MONTH(A701))</f>
        <v/>
      </c>
    </row>
    <row r="702">
      <c r="A702" s="29" t="n"/>
      <c r="B702" s="30" t="n"/>
      <c r="C702" s="30" t="n"/>
      <c r="D702" s="30" t="n"/>
      <c r="E702" s="31" t="n"/>
      <c r="F702" s="30" t="n"/>
      <c r="G702" s="30">
        <f>IF(A702="","",MONTH(A702))</f>
        <v/>
      </c>
    </row>
    <row r="703">
      <c r="A703" s="29" t="n"/>
      <c r="B703" s="30" t="n"/>
      <c r="C703" s="30" t="n"/>
      <c r="D703" s="30" t="n"/>
      <c r="E703" s="31" t="n"/>
      <c r="F703" s="30" t="n"/>
      <c r="G703" s="30">
        <f>IF(A703="","",MONTH(A703))</f>
        <v/>
      </c>
    </row>
    <row r="704">
      <c r="A704" s="29" t="n"/>
      <c r="B704" s="30" t="n"/>
      <c r="C704" s="30" t="n"/>
      <c r="D704" s="30" t="n"/>
      <c r="E704" s="31" t="n"/>
      <c r="F704" s="30" t="n"/>
      <c r="G704" s="30">
        <f>IF(A704="","",MONTH(A704))</f>
        <v/>
      </c>
    </row>
    <row r="705">
      <c r="A705" s="29" t="n"/>
      <c r="B705" s="30" t="n"/>
      <c r="C705" s="30" t="n"/>
      <c r="D705" s="30" t="n"/>
      <c r="E705" s="31" t="n"/>
      <c r="F705" s="30" t="n"/>
      <c r="G705" s="30">
        <f>IF(A705="","",MONTH(A705))</f>
        <v/>
      </c>
    </row>
    <row r="706">
      <c r="A706" s="29" t="n"/>
      <c r="B706" s="30" t="n"/>
      <c r="C706" s="30" t="n"/>
      <c r="D706" s="30" t="n"/>
      <c r="E706" s="31" t="n"/>
      <c r="F706" s="30" t="n"/>
      <c r="G706" s="30">
        <f>IF(A706="","",MONTH(A706))</f>
        <v/>
      </c>
    </row>
    <row r="707">
      <c r="A707" s="29" t="n"/>
      <c r="B707" s="30" t="n"/>
      <c r="C707" s="30" t="n"/>
      <c r="D707" s="30" t="n"/>
      <c r="E707" s="31" t="n"/>
      <c r="F707" s="30" t="n"/>
      <c r="G707" s="30">
        <f>IF(A707="","",MONTH(A707))</f>
        <v/>
      </c>
    </row>
    <row r="708">
      <c r="A708" s="29" t="n"/>
      <c r="B708" s="30" t="n"/>
      <c r="C708" s="30" t="n"/>
      <c r="D708" s="30" t="n"/>
      <c r="E708" s="31" t="n"/>
      <c r="F708" s="30" t="n"/>
      <c r="G708" s="30">
        <f>IF(A708="","",MONTH(A708))</f>
        <v/>
      </c>
    </row>
    <row r="709">
      <c r="A709" s="29" t="n"/>
      <c r="B709" s="30" t="n"/>
      <c r="C709" s="30" t="n"/>
      <c r="D709" s="30" t="n"/>
      <c r="E709" s="31" t="n"/>
      <c r="F709" s="30" t="n"/>
      <c r="G709" s="30">
        <f>IF(A709="","",MONTH(A709))</f>
        <v/>
      </c>
    </row>
    <row r="710">
      <c r="A710" s="29" t="n"/>
      <c r="B710" s="30" t="n"/>
      <c r="C710" s="30" t="n"/>
      <c r="D710" s="30" t="n"/>
      <c r="E710" s="31" t="n"/>
      <c r="F710" s="30" t="n"/>
      <c r="G710" s="30">
        <f>IF(A710="","",MONTH(A710))</f>
        <v/>
      </c>
    </row>
    <row r="711">
      <c r="A711" s="29" t="n"/>
      <c r="B711" s="30" t="n"/>
      <c r="C711" s="30" t="n"/>
      <c r="D711" s="30" t="n"/>
      <c r="E711" s="31" t="n"/>
      <c r="F711" s="30" t="n"/>
      <c r="G711" s="30">
        <f>IF(A711="","",MONTH(A711))</f>
        <v/>
      </c>
    </row>
    <row r="712">
      <c r="A712" s="29" t="n"/>
      <c r="B712" s="30" t="n"/>
      <c r="C712" s="30" t="n"/>
      <c r="D712" s="30" t="n"/>
      <c r="E712" s="31" t="n"/>
      <c r="F712" s="30" t="n"/>
      <c r="G712" s="30">
        <f>IF(A712="","",MONTH(A712))</f>
        <v/>
      </c>
    </row>
    <row r="713">
      <c r="A713" s="29" t="n"/>
      <c r="B713" s="30" t="n"/>
      <c r="C713" s="30" t="n"/>
      <c r="D713" s="30" t="n"/>
      <c r="E713" s="31" t="n"/>
      <c r="F713" s="30" t="n"/>
      <c r="G713" s="30">
        <f>IF(A713="","",MONTH(A713))</f>
        <v/>
      </c>
    </row>
    <row r="714">
      <c r="A714" s="29" t="n"/>
      <c r="B714" s="30" t="n"/>
      <c r="C714" s="30" t="n"/>
      <c r="D714" s="30" t="n"/>
      <c r="E714" s="31" t="n"/>
      <c r="F714" s="30" t="n"/>
      <c r="G714" s="30">
        <f>IF(A714="","",MONTH(A714))</f>
        <v/>
      </c>
    </row>
    <row r="715">
      <c r="A715" s="29" t="n"/>
      <c r="B715" s="30" t="n"/>
      <c r="C715" s="30" t="n"/>
      <c r="D715" s="30" t="n"/>
      <c r="E715" s="31" t="n"/>
      <c r="F715" s="30" t="n"/>
      <c r="G715" s="30">
        <f>IF(A715="","",MONTH(A715))</f>
        <v/>
      </c>
    </row>
    <row r="716">
      <c r="A716" s="29" t="n"/>
      <c r="B716" s="30" t="n"/>
      <c r="C716" s="30" t="n"/>
      <c r="D716" s="30" t="n"/>
      <c r="E716" s="31" t="n"/>
      <c r="F716" s="30" t="n"/>
      <c r="G716" s="30">
        <f>IF(A716="","",MONTH(A716))</f>
        <v/>
      </c>
    </row>
    <row r="717">
      <c r="A717" s="29" t="n"/>
      <c r="B717" s="30" t="n"/>
      <c r="C717" s="30" t="n"/>
      <c r="D717" s="30" t="n"/>
      <c r="E717" s="31" t="n"/>
      <c r="F717" s="30" t="n"/>
      <c r="G717" s="30">
        <f>IF(A717="","",MONTH(A717))</f>
        <v/>
      </c>
    </row>
    <row r="718">
      <c r="A718" s="29" t="n"/>
      <c r="B718" s="30" t="n"/>
      <c r="C718" s="30" t="n"/>
      <c r="D718" s="30" t="n"/>
      <c r="E718" s="31" t="n"/>
      <c r="F718" s="30" t="n"/>
      <c r="G718" s="30">
        <f>IF(A718="","",MONTH(A718))</f>
        <v/>
      </c>
    </row>
    <row r="719">
      <c r="A719" s="29" t="n"/>
      <c r="B719" s="30" t="n"/>
      <c r="C719" s="30" t="n"/>
      <c r="D719" s="30" t="n"/>
      <c r="E719" s="31" t="n"/>
      <c r="F719" s="30" t="n"/>
      <c r="G719" s="30">
        <f>IF(A719="","",MONTH(A719))</f>
        <v/>
      </c>
    </row>
    <row r="720">
      <c r="A720" s="29" t="n"/>
      <c r="B720" s="30" t="n"/>
      <c r="C720" s="30" t="n"/>
      <c r="D720" s="30" t="n"/>
      <c r="E720" s="31" t="n"/>
      <c r="F720" s="30" t="n"/>
      <c r="G720" s="30">
        <f>IF(A720="","",MONTH(A720))</f>
        <v/>
      </c>
    </row>
    <row r="721">
      <c r="A721" s="29" t="n"/>
      <c r="B721" s="30" t="n"/>
      <c r="C721" s="30" t="n"/>
      <c r="D721" s="30" t="n"/>
      <c r="E721" s="31" t="n"/>
      <c r="F721" s="30" t="n"/>
      <c r="G721" s="30">
        <f>IF(A721="","",MONTH(A721))</f>
        <v/>
      </c>
    </row>
    <row r="722">
      <c r="A722" s="29" t="n"/>
      <c r="B722" s="30" t="n"/>
      <c r="C722" s="30" t="n"/>
      <c r="D722" s="30" t="n"/>
      <c r="E722" s="31" t="n"/>
      <c r="F722" s="30" t="n"/>
      <c r="G722" s="30">
        <f>IF(A722="","",MONTH(A722))</f>
        <v/>
      </c>
    </row>
    <row r="723">
      <c r="A723" s="29" t="n"/>
      <c r="B723" s="30" t="n"/>
      <c r="C723" s="30" t="n"/>
      <c r="D723" s="30" t="n"/>
      <c r="E723" s="31" t="n"/>
      <c r="F723" s="30" t="n"/>
      <c r="G723" s="30">
        <f>IF(A723="","",MONTH(A723))</f>
        <v/>
      </c>
    </row>
    <row r="724">
      <c r="A724" s="29" t="n"/>
      <c r="B724" s="30" t="n"/>
      <c r="C724" s="30" t="n"/>
      <c r="D724" s="30" t="n"/>
      <c r="E724" s="31" t="n"/>
      <c r="F724" s="30" t="n"/>
      <c r="G724" s="30">
        <f>IF(A724="","",MONTH(A724))</f>
        <v/>
      </c>
    </row>
    <row r="725">
      <c r="A725" s="29" t="n"/>
      <c r="B725" s="30" t="n"/>
      <c r="C725" s="30" t="n"/>
      <c r="D725" s="30" t="n"/>
      <c r="E725" s="31" t="n"/>
      <c r="F725" s="30" t="n"/>
      <c r="G725" s="30">
        <f>IF(A725="","",MONTH(A725))</f>
        <v/>
      </c>
    </row>
    <row r="726">
      <c r="A726" s="29" t="n"/>
      <c r="B726" s="30" t="n"/>
      <c r="C726" s="30" t="n"/>
      <c r="D726" s="30" t="n"/>
      <c r="E726" s="31" t="n"/>
      <c r="F726" s="30" t="n"/>
      <c r="G726" s="30">
        <f>IF(A726="","",MONTH(A726))</f>
        <v/>
      </c>
    </row>
    <row r="727">
      <c r="A727" s="29" t="n"/>
      <c r="B727" s="30" t="n"/>
      <c r="C727" s="30" t="n"/>
      <c r="D727" s="30" t="n"/>
      <c r="E727" s="31" t="n"/>
      <c r="F727" s="30" t="n"/>
      <c r="G727" s="30">
        <f>IF(A727="","",MONTH(A727))</f>
        <v/>
      </c>
    </row>
    <row r="728">
      <c r="A728" s="29" t="n"/>
      <c r="B728" s="30" t="n"/>
      <c r="C728" s="30" t="n"/>
      <c r="D728" s="30" t="n"/>
      <c r="E728" s="31" t="n"/>
      <c r="F728" s="30" t="n"/>
      <c r="G728" s="30">
        <f>IF(A728="","",MONTH(A728))</f>
        <v/>
      </c>
    </row>
    <row r="729">
      <c r="A729" s="29" t="n"/>
      <c r="B729" s="30" t="n"/>
      <c r="C729" s="30" t="n"/>
      <c r="D729" s="30" t="n"/>
      <c r="E729" s="31" t="n"/>
      <c r="F729" s="30" t="n"/>
      <c r="G729" s="30">
        <f>IF(A729="","",MONTH(A729))</f>
        <v/>
      </c>
    </row>
    <row r="730">
      <c r="A730" s="29" t="n"/>
      <c r="B730" s="30" t="n"/>
      <c r="C730" s="30" t="n"/>
      <c r="D730" s="30" t="n"/>
      <c r="E730" s="31" t="n"/>
      <c r="F730" s="30" t="n"/>
      <c r="G730" s="30">
        <f>IF(A730="","",MONTH(A730))</f>
        <v/>
      </c>
    </row>
    <row r="731">
      <c r="A731" s="29" t="n"/>
      <c r="B731" s="30" t="n"/>
      <c r="C731" s="30" t="n"/>
      <c r="D731" s="30" t="n"/>
      <c r="E731" s="31" t="n"/>
      <c r="F731" s="30" t="n"/>
      <c r="G731" s="30">
        <f>IF(A731="","",MONTH(A731))</f>
        <v/>
      </c>
    </row>
    <row r="732">
      <c r="A732" s="29" t="n"/>
      <c r="B732" s="30" t="n"/>
      <c r="C732" s="30" t="n"/>
      <c r="D732" s="30" t="n"/>
      <c r="E732" s="31" t="n"/>
      <c r="F732" s="30" t="n"/>
      <c r="G732" s="30">
        <f>IF(A732="","",MONTH(A732))</f>
        <v/>
      </c>
    </row>
    <row r="733">
      <c r="A733" s="29" t="n"/>
      <c r="B733" s="30" t="n"/>
      <c r="C733" s="30" t="n"/>
      <c r="D733" s="30" t="n"/>
      <c r="E733" s="31" t="n"/>
      <c r="F733" s="30" t="n"/>
      <c r="G733" s="30">
        <f>IF(A733="","",MONTH(A733))</f>
        <v/>
      </c>
    </row>
    <row r="734">
      <c r="A734" s="29" t="n"/>
      <c r="B734" s="30" t="n"/>
      <c r="C734" s="30" t="n"/>
      <c r="D734" s="30" t="n"/>
      <c r="E734" s="31" t="n"/>
      <c r="F734" s="30" t="n"/>
      <c r="G734" s="30">
        <f>IF(A734="","",MONTH(A734))</f>
        <v/>
      </c>
    </row>
    <row r="735">
      <c r="A735" s="29" t="n"/>
      <c r="B735" s="30" t="n"/>
      <c r="C735" s="30" t="n"/>
      <c r="D735" s="30" t="n"/>
      <c r="E735" s="31" t="n"/>
      <c r="F735" s="30" t="n"/>
      <c r="G735" s="30">
        <f>IF(A735="","",MONTH(A735))</f>
        <v/>
      </c>
    </row>
    <row r="736">
      <c r="A736" s="29" t="n"/>
      <c r="B736" s="30" t="n"/>
      <c r="C736" s="30" t="n"/>
      <c r="D736" s="30" t="n"/>
      <c r="E736" s="31" t="n"/>
      <c r="F736" s="30" t="n"/>
      <c r="G736" s="30">
        <f>IF(A736="","",MONTH(A736))</f>
        <v/>
      </c>
    </row>
    <row r="737">
      <c r="A737" s="29" t="n"/>
      <c r="B737" s="30" t="n"/>
      <c r="C737" s="30" t="n"/>
      <c r="D737" s="30" t="n"/>
      <c r="E737" s="31" t="n"/>
      <c r="F737" s="30" t="n"/>
      <c r="G737" s="30">
        <f>IF(A737="","",MONTH(A737))</f>
        <v/>
      </c>
    </row>
    <row r="738">
      <c r="A738" s="29" t="n"/>
      <c r="B738" s="30" t="n"/>
      <c r="C738" s="30" t="n"/>
      <c r="D738" s="30" t="n"/>
      <c r="E738" s="31" t="n"/>
      <c r="F738" s="30" t="n"/>
      <c r="G738" s="30">
        <f>IF(A738="","",MONTH(A738))</f>
        <v/>
      </c>
    </row>
    <row r="739">
      <c r="A739" s="29" t="n"/>
      <c r="B739" s="30" t="n"/>
      <c r="C739" s="30" t="n"/>
      <c r="D739" s="30" t="n"/>
      <c r="E739" s="31" t="n"/>
      <c r="F739" s="30" t="n"/>
      <c r="G739" s="30">
        <f>IF(A739="","",MONTH(A739))</f>
        <v/>
      </c>
    </row>
    <row r="740">
      <c r="A740" s="29" t="n"/>
      <c r="B740" s="30" t="n"/>
      <c r="C740" s="30" t="n"/>
      <c r="D740" s="30" t="n"/>
      <c r="E740" s="31" t="n"/>
      <c r="F740" s="30" t="n"/>
      <c r="G740" s="30">
        <f>IF(A740="","",MONTH(A740))</f>
        <v/>
      </c>
    </row>
    <row r="741">
      <c r="A741" s="29" t="n"/>
      <c r="B741" s="30" t="n"/>
      <c r="C741" s="30" t="n"/>
      <c r="D741" s="30" t="n"/>
      <c r="E741" s="31" t="n"/>
      <c r="F741" s="30" t="n"/>
      <c r="G741" s="30">
        <f>IF(A741="","",MONTH(A741))</f>
        <v/>
      </c>
    </row>
    <row r="742">
      <c r="A742" s="29" t="n"/>
      <c r="B742" s="30" t="n"/>
      <c r="C742" s="30" t="n"/>
      <c r="D742" s="30" t="n"/>
      <c r="E742" s="31" t="n"/>
      <c r="F742" s="30" t="n"/>
      <c r="G742" s="30">
        <f>IF(A742="","",MONTH(A742))</f>
        <v/>
      </c>
    </row>
    <row r="743">
      <c r="A743" s="29" t="n"/>
      <c r="B743" s="30" t="n"/>
      <c r="C743" s="30" t="n"/>
      <c r="D743" s="30" t="n"/>
      <c r="E743" s="31" t="n"/>
      <c r="F743" s="30" t="n"/>
      <c r="G743" s="30">
        <f>IF(A743="","",MONTH(A743))</f>
        <v/>
      </c>
    </row>
    <row r="744">
      <c r="A744" s="29" t="n"/>
      <c r="B744" s="30" t="n"/>
      <c r="C744" s="30" t="n"/>
      <c r="D744" s="30" t="n"/>
      <c r="E744" s="31" t="n"/>
      <c r="F744" s="30" t="n"/>
      <c r="G744" s="30">
        <f>IF(A744="","",MONTH(A744))</f>
        <v/>
      </c>
    </row>
    <row r="745">
      <c r="A745" s="29" t="n"/>
      <c r="B745" s="30" t="n"/>
      <c r="C745" s="30" t="n"/>
      <c r="D745" s="30" t="n"/>
      <c r="E745" s="31" t="n"/>
      <c r="F745" s="30" t="n"/>
      <c r="G745" s="30">
        <f>IF(A745="","",MONTH(A745))</f>
        <v/>
      </c>
    </row>
    <row r="746">
      <c r="A746" s="29" t="n"/>
      <c r="B746" s="30" t="n"/>
      <c r="C746" s="30" t="n"/>
      <c r="D746" s="30" t="n"/>
      <c r="E746" s="31" t="n"/>
      <c r="F746" s="30" t="n"/>
      <c r="G746" s="30">
        <f>IF(A746="","",MONTH(A746))</f>
        <v/>
      </c>
    </row>
    <row r="747">
      <c r="A747" s="29" t="n"/>
      <c r="B747" s="30" t="n"/>
      <c r="C747" s="30" t="n"/>
      <c r="D747" s="30" t="n"/>
      <c r="E747" s="31" t="n"/>
      <c r="F747" s="30" t="n"/>
      <c r="G747" s="30">
        <f>IF(A747="","",MONTH(A747))</f>
        <v/>
      </c>
    </row>
    <row r="748">
      <c r="A748" s="29" t="n"/>
      <c r="B748" s="30" t="n"/>
      <c r="C748" s="30" t="n"/>
      <c r="D748" s="30" t="n"/>
      <c r="E748" s="31" t="n"/>
      <c r="F748" s="30" t="n"/>
      <c r="G748" s="30">
        <f>IF(A748="","",MONTH(A748))</f>
        <v/>
      </c>
    </row>
    <row r="749">
      <c r="A749" s="29" t="n"/>
      <c r="B749" s="30" t="n"/>
      <c r="C749" s="30" t="n"/>
      <c r="D749" s="30" t="n"/>
      <c r="E749" s="31" t="n"/>
      <c r="F749" s="30" t="n"/>
      <c r="G749" s="30">
        <f>IF(A749="","",MONTH(A749))</f>
        <v/>
      </c>
    </row>
    <row r="750">
      <c r="A750" s="29" t="n"/>
      <c r="B750" s="30" t="n"/>
      <c r="C750" s="30" t="n"/>
      <c r="D750" s="30" t="n"/>
      <c r="E750" s="31" t="n"/>
      <c r="F750" s="30" t="n"/>
      <c r="G750" s="30">
        <f>IF(A750="","",MONTH(A750))</f>
        <v/>
      </c>
    </row>
    <row r="751">
      <c r="A751" s="29" t="n"/>
      <c r="B751" s="30" t="n"/>
      <c r="C751" s="30" t="n"/>
      <c r="D751" s="30" t="n"/>
      <c r="E751" s="31" t="n"/>
      <c r="F751" s="30" t="n"/>
      <c r="G751" s="30">
        <f>IF(A751="","",MONTH(A751))</f>
        <v/>
      </c>
    </row>
    <row r="752">
      <c r="A752" s="29" t="n"/>
      <c r="B752" s="30" t="n"/>
      <c r="C752" s="30" t="n"/>
      <c r="D752" s="30" t="n"/>
      <c r="E752" s="31" t="n"/>
      <c r="F752" s="30" t="n"/>
      <c r="G752" s="30">
        <f>IF(A752="","",MONTH(A752))</f>
        <v/>
      </c>
    </row>
    <row r="753">
      <c r="A753" s="29" t="n"/>
      <c r="B753" s="30" t="n"/>
      <c r="C753" s="30" t="n"/>
      <c r="D753" s="30" t="n"/>
      <c r="E753" s="31" t="n"/>
      <c r="F753" s="30" t="n"/>
      <c r="G753" s="30">
        <f>IF(A753="","",MONTH(A753))</f>
        <v/>
      </c>
    </row>
    <row r="754">
      <c r="A754" s="29" t="n"/>
      <c r="B754" s="30" t="n"/>
      <c r="C754" s="30" t="n"/>
      <c r="D754" s="30" t="n"/>
      <c r="E754" s="31" t="n"/>
      <c r="F754" s="30" t="n"/>
      <c r="G754" s="30">
        <f>IF(A754="","",MONTH(A754))</f>
        <v/>
      </c>
    </row>
    <row r="755">
      <c r="A755" s="29" t="n"/>
      <c r="B755" s="30" t="n"/>
      <c r="C755" s="30" t="n"/>
      <c r="D755" s="30" t="n"/>
      <c r="E755" s="31" t="n"/>
      <c r="F755" s="30" t="n"/>
      <c r="G755" s="30">
        <f>IF(A755="","",MONTH(A755))</f>
        <v/>
      </c>
    </row>
    <row r="756">
      <c r="A756" s="29" t="n"/>
      <c r="B756" s="30" t="n"/>
      <c r="C756" s="30" t="n"/>
      <c r="D756" s="30" t="n"/>
      <c r="E756" s="31" t="n"/>
      <c r="F756" s="30" t="n"/>
      <c r="G756" s="30">
        <f>IF(A756="","",MONTH(A756))</f>
        <v/>
      </c>
    </row>
    <row r="757">
      <c r="A757" s="29" t="n"/>
      <c r="B757" s="30" t="n"/>
      <c r="C757" s="30" t="n"/>
      <c r="D757" s="30" t="n"/>
      <c r="E757" s="31" t="n"/>
      <c r="F757" s="30" t="n"/>
      <c r="G757" s="30">
        <f>IF(A757="","",MONTH(A757))</f>
        <v/>
      </c>
    </row>
    <row r="758">
      <c r="A758" s="29" t="n"/>
      <c r="B758" s="30" t="n"/>
      <c r="C758" s="30" t="n"/>
      <c r="D758" s="30" t="n"/>
      <c r="E758" s="31" t="n"/>
      <c r="F758" s="30" t="n"/>
      <c r="G758" s="30">
        <f>IF(A758="","",MONTH(A758))</f>
        <v/>
      </c>
    </row>
    <row r="759">
      <c r="A759" s="29" t="n"/>
      <c r="B759" s="30" t="n"/>
      <c r="C759" s="30" t="n"/>
      <c r="D759" s="30" t="n"/>
      <c r="E759" s="31" t="n"/>
      <c r="F759" s="30" t="n"/>
      <c r="G759" s="30">
        <f>IF(A759="","",MONTH(A759))</f>
        <v/>
      </c>
    </row>
    <row r="760">
      <c r="A760" s="29" t="n"/>
      <c r="B760" s="30" t="n"/>
      <c r="C760" s="30" t="n"/>
      <c r="D760" s="30" t="n"/>
      <c r="E760" s="31" t="n"/>
      <c r="F760" s="30" t="n"/>
      <c r="G760" s="30">
        <f>IF(A760="","",MONTH(A760))</f>
        <v/>
      </c>
    </row>
    <row r="761">
      <c r="A761" s="29" t="n"/>
      <c r="B761" s="30" t="n"/>
      <c r="C761" s="30" t="n"/>
      <c r="D761" s="30" t="n"/>
      <c r="E761" s="31" t="n"/>
      <c r="F761" s="30" t="n"/>
      <c r="G761" s="30">
        <f>IF(A761="","",MONTH(A761))</f>
        <v/>
      </c>
    </row>
    <row r="762">
      <c r="A762" s="29" t="n"/>
      <c r="B762" s="30" t="n"/>
      <c r="C762" s="30" t="n"/>
      <c r="D762" s="30" t="n"/>
      <c r="E762" s="31" t="n"/>
      <c r="F762" s="30" t="n"/>
      <c r="G762" s="30">
        <f>IF(A762="","",MONTH(A762))</f>
        <v/>
      </c>
    </row>
    <row r="763">
      <c r="A763" s="29" t="n"/>
      <c r="B763" s="30" t="n"/>
      <c r="C763" s="30" t="n"/>
      <c r="D763" s="30" t="n"/>
      <c r="E763" s="31" t="n"/>
      <c r="F763" s="30" t="n"/>
      <c r="G763" s="30">
        <f>IF(A763="","",MONTH(A763))</f>
        <v/>
      </c>
    </row>
    <row r="764">
      <c r="A764" s="29" t="n"/>
      <c r="B764" s="30" t="n"/>
      <c r="C764" s="30" t="n"/>
      <c r="D764" s="30" t="n"/>
      <c r="E764" s="31" t="n"/>
      <c r="F764" s="30" t="n"/>
      <c r="G764" s="30">
        <f>IF(A764="","",MONTH(A764))</f>
        <v/>
      </c>
    </row>
    <row r="765">
      <c r="A765" s="29" t="n"/>
      <c r="B765" s="30" t="n"/>
      <c r="C765" s="30" t="n"/>
      <c r="D765" s="30" t="n"/>
      <c r="E765" s="31" t="n"/>
      <c r="F765" s="30" t="n"/>
      <c r="G765" s="30">
        <f>IF(A765="","",MONTH(A765))</f>
        <v/>
      </c>
    </row>
    <row r="766">
      <c r="A766" s="29" t="n"/>
      <c r="B766" s="30" t="n"/>
      <c r="C766" s="30" t="n"/>
      <c r="D766" s="30" t="n"/>
      <c r="E766" s="31" t="n"/>
      <c r="F766" s="30" t="n"/>
      <c r="G766" s="30">
        <f>IF(A766="","",MONTH(A766))</f>
        <v/>
      </c>
    </row>
    <row r="767">
      <c r="A767" s="29" t="n"/>
      <c r="B767" s="30" t="n"/>
      <c r="C767" s="30" t="n"/>
      <c r="D767" s="30" t="n"/>
      <c r="E767" s="31" t="n"/>
      <c r="F767" s="30" t="n"/>
      <c r="G767" s="30">
        <f>IF(A767="","",MONTH(A767))</f>
        <v/>
      </c>
    </row>
    <row r="768">
      <c r="A768" s="29" t="n"/>
      <c r="B768" s="30" t="n"/>
      <c r="C768" s="30" t="n"/>
      <c r="D768" s="30" t="n"/>
      <c r="E768" s="31" t="n"/>
      <c r="F768" s="30" t="n"/>
      <c r="G768" s="30">
        <f>IF(A768="","",MONTH(A768))</f>
        <v/>
      </c>
    </row>
    <row r="769">
      <c r="A769" s="29" t="n"/>
      <c r="B769" s="30" t="n"/>
      <c r="C769" s="30" t="n"/>
      <c r="D769" s="30" t="n"/>
      <c r="E769" s="31" t="n"/>
      <c r="F769" s="30" t="n"/>
      <c r="G769" s="30">
        <f>IF(A769="","",MONTH(A769))</f>
        <v/>
      </c>
    </row>
    <row r="770">
      <c r="A770" s="29" t="n"/>
      <c r="B770" s="30" t="n"/>
      <c r="C770" s="30" t="n"/>
      <c r="D770" s="30" t="n"/>
      <c r="E770" s="31" t="n"/>
      <c r="F770" s="30" t="n"/>
      <c r="G770" s="30">
        <f>IF(A770="","",MONTH(A770))</f>
        <v/>
      </c>
    </row>
    <row r="771">
      <c r="A771" s="29" t="n"/>
      <c r="B771" s="30" t="n"/>
      <c r="C771" s="30" t="n"/>
      <c r="D771" s="30" t="n"/>
      <c r="E771" s="31" t="n"/>
      <c r="F771" s="30" t="n"/>
      <c r="G771" s="30">
        <f>IF(A771="","",MONTH(A771))</f>
        <v/>
      </c>
    </row>
    <row r="772">
      <c r="A772" s="29" t="n"/>
      <c r="B772" s="30" t="n"/>
      <c r="C772" s="30" t="n"/>
      <c r="D772" s="30" t="n"/>
      <c r="E772" s="31" t="n"/>
      <c r="F772" s="30" t="n"/>
      <c r="G772" s="30">
        <f>IF(A772="","",MONTH(A772))</f>
        <v/>
      </c>
    </row>
    <row r="773">
      <c r="A773" s="29" t="n"/>
      <c r="B773" s="30" t="n"/>
      <c r="C773" s="30" t="n"/>
      <c r="D773" s="30" t="n"/>
      <c r="E773" s="31" t="n"/>
      <c r="F773" s="30" t="n"/>
      <c r="G773" s="30">
        <f>IF(A773="","",MONTH(A773))</f>
        <v/>
      </c>
    </row>
    <row r="774">
      <c r="A774" s="29" t="n"/>
      <c r="B774" s="30" t="n"/>
      <c r="C774" s="30" t="n"/>
      <c r="D774" s="30" t="n"/>
      <c r="E774" s="31" t="n"/>
      <c r="F774" s="30" t="n"/>
      <c r="G774" s="30">
        <f>IF(A774="","",MONTH(A774))</f>
        <v/>
      </c>
    </row>
    <row r="775">
      <c r="A775" s="29" t="n"/>
      <c r="B775" s="30" t="n"/>
      <c r="C775" s="30" t="n"/>
      <c r="D775" s="30" t="n"/>
      <c r="E775" s="31" t="n"/>
      <c r="F775" s="30" t="n"/>
      <c r="G775" s="30">
        <f>IF(A775="","",MONTH(A775))</f>
        <v/>
      </c>
    </row>
    <row r="776">
      <c r="A776" s="29" t="n"/>
      <c r="B776" s="30" t="n"/>
      <c r="C776" s="30" t="n"/>
      <c r="D776" s="30" t="n"/>
      <c r="E776" s="31" t="n"/>
      <c r="F776" s="30" t="n"/>
      <c r="G776" s="30">
        <f>IF(A776="","",MONTH(A776))</f>
        <v/>
      </c>
    </row>
    <row r="777">
      <c r="A777" s="29" t="n"/>
      <c r="B777" s="30" t="n"/>
      <c r="C777" s="30" t="n"/>
      <c r="D777" s="30" t="n"/>
      <c r="E777" s="31" t="n"/>
      <c r="F777" s="30" t="n"/>
      <c r="G777" s="30">
        <f>IF(A777="","",MONTH(A777))</f>
        <v/>
      </c>
    </row>
    <row r="778">
      <c r="A778" s="29" t="n"/>
      <c r="B778" s="30" t="n"/>
      <c r="C778" s="30" t="n"/>
      <c r="D778" s="30" t="n"/>
      <c r="E778" s="31" t="n"/>
      <c r="F778" s="30" t="n"/>
      <c r="G778" s="30">
        <f>IF(A778="","",MONTH(A778))</f>
        <v/>
      </c>
    </row>
    <row r="779">
      <c r="A779" s="29" t="n"/>
      <c r="B779" s="30" t="n"/>
      <c r="C779" s="30" t="n"/>
      <c r="D779" s="30" t="n"/>
      <c r="E779" s="31" t="n"/>
      <c r="F779" s="30" t="n"/>
      <c r="G779" s="30">
        <f>IF(A779="","",MONTH(A779))</f>
        <v/>
      </c>
    </row>
    <row r="780">
      <c r="A780" s="29" t="n"/>
      <c r="B780" s="30" t="n"/>
      <c r="C780" s="30" t="n"/>
      <c r="D780" s="30" t="n"/>
      <c r="E780" s="31" t="n"/>
      <c r="F780" s="30" t="n"/>
      <c r="G780" s="30">
        <f>IF(A780="","",MONTH(A780))</f>
        <v/>
      </c>
    </row>
    <row r="781">
      <c r="A781" s="29" t="n"/>
      <c r="B781" s="30" t="n"/>
      <c r="C781" s="30" t="n"/>
      <c r="D781" s="30" t="n"/>
      <c r="E781" s="31" t="n"/>
      <c r="F781" s="30" t="n"/>
      <c r="G781" s="30">
        <f>IF(A781="","",MONTH(A781))</f>
        <v/>
      </c>
    </row>
    <row r="782">
      <c r="A782" s="29" t="n"/>
      <c r="B782" s="30" t="n"/>
      <c r="C782" s="30" t="n"/>
      <c r="D782" s="30" t="n"/>
      <c r="E782" s="31" t="n"/>
      <c r="F782" s="30" t="n"/>
      <c r="G782" s="30">
        <f>IF(A782="","",MONTH(A782))</f>
        <v/>
      </c>
    </row>
    <row r="783">
      <c r="A783" s="29" t="n"/>
      <c r="B783" s="30" t="n"/>
      <c r="C783" s="30" t="n"/>
      <c r="D783" s="30" t="n"/>
      <c r="E783" s="31" t="n"/>
      <c r="F783" s="30" t="n"/>
      <c r="G783" s="30">
        <f>IF(A783="","",MONTH(A783))</f>
        <v/>
      </c>
    </row>
    <row r="784">
      <c r="A784" s="29" t="n"/>
      <c r="B784" s="30" t="n"/>
      <c r="C784" s="30" t="n"/>
      <c r="D784" s="30" t="n"/>
      <c r="E784" s="31" t="n"/>
      <c r="F784" s="30" t="n"/>
      <c r="G784" s="30">
        <f>IF(A784="","",MONTH(A784))</f>
        <v/>
      </c>
    </row>
    <row r="785">
      <c r="A785" s="29" t="n"/>
      <c r="B785" s="30" t="n"/>
      <c r="C785" s="30" t="n"/>
      <c r="D785" s="30" t="n"/>
      <c r="E785" s="31" t="n"/>
      <c r="F785" s="30" t="n"/>
      <c r="G785" s="30">
        <f>IF(A785="","",MONTH(A785))</f>
        <v/>
      </c>
    </row>
    <row r="786">
      <c r="A786" s="29" t="n"/>
      <c r="B786" s="30" t="n"/>
      <c r="C786" s="30" t="n"/>
      <c r="D786" s="30" t="n"/>
      <c r="E786" s="31" t="n"/>
      <c r="F786" s="30" t="n"/>
      <c r="G786" s="30">
        <f>IF(A786="","",MONTH(A786))</f>
        <v/>
      </c>
    </row>
    <row r="787">
      <c r="A787" s="29" t="n"/>
      <c r="B787" s="30" t="n"/>
      <c r="C787" s="30" t="n"/>
      <c r="D787" s="30" t="n"/>
      <c r="E787" s="31" t="n"/>
      <c r="F787" s="30" t="n"/>
      <c r="G787" s="30">
        <f>IF(A787="","",MONTH(A787))</f>
        <v/>
      </c>
    </row>
    <row r="788">
      <c r="A788" s="29" t="n"/>
      <c r="B788" s="30" t="n"/>
      <c r="C788" s="30" t="n"/>
      <c r="D788" s="30" t="n"/>
      <c r="E788" s="31" t="n"/>
      <c r="F788" s="30" t="n"/>
      <c r="G788" s="30">
        <f>IF(A788="","",MONTH(A788))</f>
        <v/>
      </c>
    </row>
    <row r="789">
      <c r="A789" s="29" t="n"/>
      <c r="B789" s="30" t="n"/>
      <c r="C789" s="30" t="n"/>
      <c r="D789" s="30" t="n"/>
      <c r="E789" s="31" t="n"/>
      <c r="F789" s="30" t="n"/>
      <c r="G789" s="30">
        <f>IF(A789="","",MONTH(A789))</f>
        <v/>
      </c>
    </row>
    <row r="790">
      <c r="A790" s="29" t="n"/>
      <c r="B790" s="30" t="n"/>
      <c r="C790" s="30" t="n"/>
      <c r="D790" s="30" t="n"/>
      <c r="E790" s="31" t="n"/>
      <c r="F790" s="30" t="n"/>
      <c r="G790" s="30">
        <f>IF(A790="","",MONTH(A790))</f>
        <v/>
      </c>
    </row>
    <row r="791">
      <c r="A791" s="29" t="n"/>
      <c r="B791" s="30" t="n"/>
      <c r="C791" s="30" t="n"/>
      <c r="D791" s="30" t="n"/>
      <c r="E791" s="31" t="n"/>
      <c r="F791" s="30" t="n"/>
      <c r="G791" s="30">
        <f>IF(A791="","",MONTH(A791))</f>
        <v/>
      </c>
    </row>
    <row r="792">
      <c r="A792" s="29" t="n"/>
      <c r="B792" s="30" t="n"/>
      <c r="C792" s="30" t="n"/>
      <c r="D792" s="30" t="n"/>
      <c r="E792" s="31" t="n"/>
      <c r="F792" s="30" t="n"/>
      <c r="G792" s="30">
        <f>IF(A792="","",MONTH(A792))</f>
        <v/>
      </c>
    </row>
    <row r="793">
      <c r="A793" s="29" t="n"/>
      <c r="B793" s="30" t="n"/>
      <c r="C793" s="30" t="n"/>
      <c r="D793" s="30" t="n"/>
      <c r="E793" s="31" t="n"/>
      <c r="F793" s="30" t="n"/>
      <c r="G793" s="30">
        <f>IF(A793="","",MONTH(A793))</f>
        <v/>
      </c>
    </row>
    <row r="794">
      <c r="A794" s="29" t="n"/>
      <c r="B794" s="30" t="n"/>
      <c r="C794" s="30" t="n"/>
      <c r="D794" s="30" t="n"/>
      <c r="E794" s="31" t="n"/>
      <c r="F794" s="30" t="n"/>
      <c r="G794" s="30">
        <f>IF(A794="","",MONTH(A794))</f>
        <v/>
      </c>
    </row>
    <row r="795">
      <c r="A795" s="29" t="n"/>
      <c r="B795" s="30" t="n"/>
      <c r="C795" s="30" t="n"/>
      <c r="D795" s="30" t="n"/>
      <c r="E795" s="31" t="n"/>
      <c r="F795" s="30" t="n"/>
      <c r="G795" s="30">
        <f>IF(A795="","",MONTH(A795))</f>
        <v/>
      </c>
    </row>
    <row r="796">
      <c r="A796" s="29" t="n"/>
      <c r="B796" s="30" t="n"/>
      <c r="C796" s="30" t="n"/>
      <c r="D796" s="30" t="n"/>
      <c r="E796" s="31" t="n"/>
      <c r="F796" s="30" t="n"/>
      <c r="G796" s="30">
        <f>IF(A796="","",MONTH(A796))</f>
        <v/>
      </c>
    </row>
    <row r="797">
      <c r="A797" s="29" t="n"/>
      <c r="B797" s="30" t="n"/>
      <c r="C797" s="30" t="n"/>
      <c r="D797" s="30" t="n"/>
      <c r="E797" s="31" t="n"/>
      <c r="F797" s="30" t="n"/>
      <c r="G797" s="30">
        <f>IF(A797="","",MONTH(A797))</f>
        <v/>
      </c>
    </row>
    <row r="798">
      <c r="A798" s="29" t="n"/>
      <c r="B798" s="30" t="n"/>
      <c r="C798" s="30" t="n"/>
      <c r="D798" s="30" t="n"/>
      <c r="E798" s="31" t="n"/>
      <c r="F798" s="30" t="n"/>
      <c r="G798" s="30">
        <f>IF(A798="","",MONTH(A798))</f>
        <v/>
      </c>
    </row>
    <row r="799">
      <c r="A799" s="29" t="n"/>
      <c r="B799" s="30" t="n"/>
      <c r="C799" s="30" t="n"/>
      <c r="D799" s="30" t="n"/>
      <c r="E799" s="31" t="n"/>
      <c r="F799" s="30" t="n"/>
      <c r="G799" s="30">
        <f>IF(A799="","",MONTH(A799))</f>
        <v/>
      </c>
    </row>
    <row r="800">
      <c r="A800" s="29" t="n"/>
      <c r="B800" s="30" t="n"/>
      <c r="C800" s="30" t="n"/>
      <c r="D800" s="30" t="n"/>
      <c r="E800" s="31" t="n"/>
      <c r="F800" s="30" t="n"/>
      <c r="G800" s="30">
        <f>IF(A800="","",MONTH(A800))</f>
        <v/>
      </c>
    </row>
    <row r="801">
      <c r="A801" s="29" t="n"/>
      <c r="B801" s="30" t="n"/>
      <c r="C801" s="30" t="n"/>
      <c r="D801" s="30" t="n"/>
      <c r="E801" s="31" t="n"/>
      <c r="F801" s="30" t="n"/>
      <c r="G801" s="30">
        <f>IF(A801="","",MONTH(A801))</f>
        <v/>
      </c>
    </row>
    <row r="802">
      <c r="A802" s="29" t="n"/>
      <c r="B802" s="30" t="n"/>
      <c r="C802" s="30" t="n"/>
      <c r="D802" s="30" t="n"/>
      <c r="E802" s="31" t="n"/>
      <c r="F802" s="30" t="n"/>
      <c r="G802" s="30">
        <f>IF(A802="","",MONTH(A802))</f>
        <v/>
      </c>
    </row>
    <row r="803">
      <c r="A803" s="29" t="n"/>
      <c r="B803" s="30" t="n"/>
      <c r="C803" s="30" t="n"/>
      <c r="D803" s="30" t="n"/>
      <c r="E803" s="31" t="n"/>
      <c r="F803" s="30" t="n"/>
      <c r="G803" s="30">
        <f>IF(A803="","",MONTH(A803))</f>
        <v/>
      </c>
    </row>
    <row r="804">
      <c r="A804" s="29" t="n"/>
      <c r="B804" s="30" t="n"/>
      <c r="C804" s="30" t="n"/>
      <c r="D804" s="30" t="n"/>
      <c r="E804" s="31" t="n"/>
      <c r="F804" s="30" t="n"/>
      <c r="G804" s="30">
        <f>IF(A804="","",MONTH(A804))</f>
        <v/>
      </c>
    </row>
    <row r="805">
      <c r="A805" s="29" t="n"/>
      <c r="B805" s="30" t="n"/>
      <c r="C805" s="30" t="n"/>
      <c r="D805" s="30" t="n"/>
      <c r="E805" s="31" t="n"/>
      <c r="F805" s="30" t="n"/>
      <c r="G805" s="30">
        <f>IF(A805="","",MONTH(A805))</f>
        <v/>
      </c>
    </row>
    <row r="806">
      <c r="A806" s="29" t="n"/>
      <c r="B806" s="30" t="n"/>
      <c r="C806" s="30" t="n"/>
      <c r="D806" s="30" t="n"/>
      <c r="E806" s="31" t="n"/>
      <c r="F806" s="30" t="n"/>
      <c r="G806" s="30">
        <f>IF(A806="","",MONTH(A806))</f>
        <v/>
      </c>
    </row>
    <row r="807">
      <c r="A807" s="29" t="n"/>
      <c r="B807" s="30" t="n"/>
      <c r="C807" s="30" t="n"/>
      <c r="D807" s="30" t="n"/>
      <c r="E807" s="31" t="n"/>
      <c r="F807" s="30" t="n"/>
      <c r="G807" s="30">
        <f>IF(A807="","",MONTH(A807))</f>
        <v/>
      </c>
    </row>
    <row r="808">
      <c r="A808" s="29" t="n"/>
      <c r="B808" s="30" t="n"/>
      <c r="C808" s="30" t="n"/>
      <c r="D808" s="30" t="n"/>
      <c r="E808" s="31" t="n"/>
      <c r="F808" s="30" t="n"/>
      <c r="G808" s="30">
        <f>IF(A808="","",MONTH(A808))</f>
        <v/>
      </c>
    </row>
    <row r="809">
      <c r="A809" s="29" t="n"/>
      <c r="B809" s="30" t="n"/>
      <c r="C809" s="30" t="n"/>
      <c r="D809" s="30" t="n"/>
      <c r="E809" s="31" t="n"/>
      <c r="F809" s="30" t="n"/>
      <c r="G809" s="30">
        <f>IF(A809="","",MONTH(A809))</f>
        <v/>
      </c>
    </row>
    <row r="810">
      <c r="A810" s="29" t="n"/>
      <c r="B810" s="30" t="n"/>
      <c r="C810" s="30" t="n"/>
      <c r="D810" s="30" t="n"/>
      <c r="E810" s="31" t="n"/>
      <c r="F810" s="30" t="n"/>
      <c r="G810" s="30">
        <f>IF(A810="","",MONTH(A810))</f>
        <v/>
      </c>
    </row>
    <row r="811">
      <c r="A811" s="29" t="n"/>
      <c r="B811" s="30" t="n"/>
      <c r="C811" s="30" t="n"/>
      <c r="D811" s="30" t="n"/>
      <c r="E811" s="31" t="n"/>
      <c r="F811" s="30" t="n"/>
      <c r="G811" s="30">
        <f>IF(A811="","",MONTH(A811))</f>
        <v/>
      </c>
    </row>
    <row r="812">
      <c r="A812" s="29" t="n"/>
      <c r="B812" s="30" t="n"/>
      <c r="C812" s="30" t="n"/>
      <c r="D812" s="30" t="n"/>
      <c r="E812" s="31" t="n"/>
      <c r="F812" s="30" t="n"/>
      <c r="G812" s="30">
        <f>IF(A812="","",MONTH(A812))</f>
        <v/>
      </c>
    </row>
    <row r="813">
      <c r="A813" s="29" t="n"/>
      <c r="B813" s="30" t="n"/>
      <c r="C813" s="30" t="n"/>
      <c r="D813" s="30" t="n"/>
      <c r="E813" s="31" t="n"/>
      <c r="F813" s="30" t="n"/>
      <c r="G813" s="30">
        <f>IF(A813="","",MONTH(A813))</f>
        <v/>
      </c>
    </row>
    <row r="814">
      <c r="A814" s="29" t="n"/>
      <c r="B814" s="30" t="n"/>
      <c r="C814" s="30" t="n"/>
      <c r="D814" s="30" t="n"/>
      <c r="E814" s="31" t="n"/>
      <c r="F814" s="30" t="n"/>
      <c r="G814" s="30">
        <f>IF(A814="","",MONTH(A814))</f>
        <v/>
      </c>
    </row>
    <row r="815">
      <c r="A815" s="29" t="n"/>
      <c r="B815" s="30" t="n"/>
      <c r="C815" s="30" t="n"/>
      <c r="D815" s="30" t="n"/>
      <c r="E815" s="31" t="n"/>
      <c r="F815" s="30" t="n"/>
      <c r="G815" s="30">
        <f>IF(A815="","",MONTH(A815))</f>
        <v/>
      </c>
    </row>
    <row r="816">
      <c r="A816" s="29" t="n"/>
      <c r="B816" s="30" t="n"/>
      <c r="C816" s="30" t="n"/>
      <c r="D816" s="30" t="n"/>
      <c r="E816" s="31" t="n"/>
      <c r="F816" s="30" t="n"/>
      <c r="G816" s="30">
        <f>IF(A816="","",MONTH(A816))</f>
        <v/>
      </c>
    </row>
    <row r="817">
      <c r="A817" s="29" t="n"/>
      <c r="B817" s="30" t="n"/>
      <c r="C817" s="30" t="n"/>
      <c r="D817" s="30" t="n"/>
      <c r="E817" s="31" t="n"/>
      <c r="F817" s="30" t="n"/>
      <c r="G817" s="30">
        <f>IF(A817="","",MONTH(A817))</f>
        <v/>
      </c>
    </row>
    <row r="818">
      <c r="A818" s="29" t="n"/>
      <c r="B818" s="30" t="n"/>
      <c r="C818" s="30" t="n"/>
      <c r="D818" s="30" t="n"/>
      <c r="E818" s="31" t="n"/>
      <c r="F818" s="30" t="n"/>
      <c r="G818" s="30">
        <f>IF(A818="","",MONTH(A818))</f>
        <v/>
      </c>
    </row>
    <row r="819">
      <c r="A819" s="29" t="n"/>
      <c r="B819" s="30" t="n"/>
      <c r="C819" s="30" t="n"/>
      <c r="D819" s="30" t="n"/>
      <c r="E819" s="31" t="n"/>
      <c r="F819" s="30" t="n"/>
      <c r="G819" s="30">
        <f>IF(A819="","",MONTH(A819))</f>
        <v/>
      </c>
    </row>
    <row r="820">
      <c r="A820" s="29" t="n"/>
      <c r="B820" s="30" t="n"/>
      <c r="C820" s="30" t="n"/>
      <c r="D820" s="30" t="n"/>
      <c r="E820" s="31" t="n"/>
      <c r="F820" s="30" t="n"/>
      <c r="G820" s="30">
        <f>IF(A820="","",MONTH(A820))</f>
        <v/>
      </c>
    </row>
    <row r="821">
      <c r="A821" s="29" t="n"/>
      <c r="B821" s="30" t="n"/>
      <c r="C821" s="30" t="n"/>
      <c r="D821" s="30" t="n"/>
      <c r="E821" s="31" t="n"/>
      <c r="F821" s="30" t="n"/>
      <c r="G821" s="30">
        <f>IF(A821="","",MONTH(A821))</f>
        <v/>
      </c>
    </row>
    <row r="822">
      <c r="A822" s="29" t="n"/>
      <c r="B822" s="30" t="n"/>
      <c r="C822" s="30" t="n"/>
      <c r="D822" s="30" t="n"/>
      <c r="E822" s="31" t="n"/>
      <c r="F822" s="30" t="n"/>
      <c r="G822" s="30">
        <f>IF(A822="","",MONTH(A822))</f>
        <v/>
      </c>
    </row>
    <row r="823">
      <c r="A823" s="29" t="n"/>
      <c r="B823" s="30" t="n"/>
      <c r="C823" s="30" t="n"/>
      <c r="D823" s="30" t="n"/>
      <c r="E823" s="31" t="n"/>
      <c r="F823" s="30" t="n"/>
      <c r="G823" s="30">
        <f>IF(A823="","",MONTH(A823))</f>
        <v/>
      </c>
    </row>
    <row r="824">
      <c r="A824" s="29" t="n"/>
      <c r="B824" s="30" t="n"/>
      <c r="C824" s="30" t="n"/>
      <c r="D824" s="30" t="n"/>
      <c r="E824" s="31" t="n"/>
      <c r="F824" s="30" t="n"/>
      <c r="G824" s="30">
        <f>IF(A824="","",MONTH(A824))</f>
        <v/>
      </c>
    </row>
    <row r="825">
      <c r="A825" s="29" t="n"/>
      <c r="B825" s="30" t="n"/>
      <c r="C825" s="30" t="n"/>
      <c r="D825" s="30" t="n"/>
      <c r="E825" s="31" t="n"/>
      <c r="F825" s="30" t="n"/>
      <c r="G825" s="30">
        <f>IF(A825="","",MONTH(A825))</f>
        <v/>
      </c>
    </row>
    <row r="826">
      <c r="A826" s="29" t="n"/>
      <c r="B826" s="30" t="n"/>
      <c r="C826" s="30" t="n"/>
      <c r="D826" s="30" t="n"/>
      <c r="E826" s="31" t="n"/>
      <c r="F826" s="30" t="n"/>
      <c r="G826" s="30">
        <f>IF(A826="","",MONTH(A826))</f>
        <v/>
      </c>
    </row>
    <row r="827">
      <c r="A827" s="29" t="n"/>
      <c r="B827" s="30" t="n"/>
      <c r="C827" s="30" t="n"/>
      <c r="D827" s="30" t="n"/>
      <c r="E827" s="31" t="n"/>
      <c r="F827" s="30" t="n"/>
      <c r="G827" s="30">
        <f>IF(A827="","",MONTH(A827))</f>
        <v/>
      </c>
    </row>
    <row r="828">
      <c r="A828" s="29" t="n"/>
      <c r="B828" s="30" t="n"/>
      <c r="C828" s="30" t="n"/>
      <c r="D828" s="30" t="n"/>
      <c r="E828" s="31" t="n"/>
      <c r="F828" s="30" t="n"/>
      <c r="G828" s="30">
        <f>IF(A828="","",MONTH(A828))</f>
        <v/>
      </c>
    </row>
    <row r="829">
      <c r="A829" s="29" t="n"/>
      <c r="B829" s="30" t="n"/>
      <c r="C829" s="30" t="n"/>
      <c r="D829" s="30" t="n"/>
      <c r="E829" s="31" t="n"/>
      <c r="F829" s="30" t="n"/>
      <c r="G829" s="30">
        <f>IF(A829="","",MONTH(A829))</f>
        <v/>
      </c>
    </row>
    <row r="830">
      <c r="A830" s="29" t="n"/>
      <c r="B830" s="30" t="n"/>
      <c r="C830" s="30" t="n"/>
      <c r="D830" s="30" t="n"/>
      <c r="E830" s="31" t="n"/>
      <c r="F830" s="30" t="n"/>
      <c r="G830" s="30">
        <f>IF(A830="","",MONTH(A830))</f>
        <v/>
      </c>
    </row>
    <row r="831">
      <c r="A831" s="29" t="n"/>
      <c r="B831" s="30" t="n"/>
      <c r="C831" s="30" t="n"/>
      <c r="D831" s="30" t="n"/>
      <c r="E831" s="31" t="n"/>
      <c r="F831" s="30" t="n"/>
      <c r="G831" s="30">
        <f>IF(A831="","",MONTH(A831))</f>
        <v/>
      </c>
    </row>
    <row r="832">
      <c r="A832" s="29" t="n"/>
      <c r="B832" s="30" t="n"/>
      <c r="C832" s="30" t="n"/>
      <c r="D832" s="30" t="n"/>
      <c r="E832" s="31" t="n"/>
      <c r="F832" s="30" t="n"/>
      <c r="G832" s="30">
        <f>IF(A832="","",MONTH(A832))</f>
        <v/>
      </c>
    </row>
    <row r="833">
      <c r="A833" s="29" t="n"/>
      <c r="B833" s="30" t="n"/>
      <c r="C833" s="30" t="n"/>
      <c r="D833" s="30" t="n"/>
      <c r="E833" s="31" t="n"/>
      <c r="F833" s="30" t="n"/>
      <c r="G833" s="30">
        <f>IF(A833="","",MONTH(A833))</f>
        <v/>
      </c>
    </row>
    <row r="834">
      <c r="A834" s="29" t="n"/>
      <c r="B834" s="30" t="n"/>
      <c r="C834" s="30" t="n"/>
      <c r="D834" s="30" t="n"/>
      <c r="E834" s="31" t="n"/>
      <c r="F834" s="30" t="n"/>
      <c r="G834" s="30">
        <f>IF(A834="","",MONTH(A834))</f>
        <v/>
      </c>
    </row>
    <row r="835">
      <c r="A835" s="29" t="n"/>
      <c r="B835" s="30" t="n"/>
      <c r="C835" s="30" t="n"/>
      <c r="D835" s="30" t="n"/>
      <c r="E835" s="31" t="n"/>
      <c r="F835" s="30" t="n"/>
      <c r="G835" s="30">
        <f>IF(A835="","",MONTH(A835))</f>
        <v/>
      </c>
    </row>
    <row r="836">
      <c r="A836" s="29" t="n"/>
      <c r="B836" s="30" t="n"/>
      <c r="C836" s="30" t="n"/>
      <c r="D836" s="30" t="n"/>
      <c r="E836" s="31" t="n"/>
      <c r="F836" s="30" t="n"/>
      <c r="G836" s="30">
        <f>IF(A836="","",MONTH(A836))</f>
        <v/>
      </c>
    </row>
    <row r="837">
      <c r="A837" s="29" t="n"/>
      <c r="B837" s="30" t="n"/>
      <c r="C837" s="30" t="n"/>
      <c r="D837" s="30" t="n"/>
      <c r="E837" s="31" t="n"/>
      <c r="F837" s="30" t="n"/>
      <c r="G837" s="30">
        <f>IF(A837="","",MONTH(A837))</f>
        <v/>
      </c>
    </row>
    <row r="838">
      <c r="A838" s="29" t="n"/>
      <c r="B838" s="30" t="n"/>
      <c r="C838" s="30" t="n"/>
      <c r="D838" s="30" t="n"/>
      <c r="E838" s="31" t="n"/>
      <c r="F838" s="30" t="n"/>
      <c r="G838" s="30">
        <f>IF(A838="","",MONTH(A838))</f>
        <v/>
      </c>
    </row>
    <row r="839">
      <c r="A839" s="29" t="n"/>
      <c r="B839" s="30" t="n"/>
      <c r="C839" s="30" t="n"/>
      <c r="D839" s="30" t="n"/>
      <c r="E839" s="31" t="n"/>
      <c r="F839" s="30" t="n"/>
      <c r="G839" s="30">
        <f>IF(A839="","",MONTH(A839))</f>
        <v/>
      </c>
    </row>
    <row r="840">
      <c r="A840" s="29" t="n"/>
      <c r="B840" s="30" t="n"/>
      <c r="C840" s="30" t="n"/>
      <c r="D840" s="30" t="n"/>
      <c r="E840" s="31" t="n"/>
      <c r="F840" s="30" t="n"/>
      <c r="G840" s="30">
        <f>IF(A840="","",MONTH(A840))</f>
        <v/>
      </c>
    </row>
    <row r="841">
      <c r="A841" s="29" t="n"/>
      <c r="B841" s="30" t="n"/>
      <c r="C841" s="30" t="n"/>
      <c r="D841" s="30" t="n"/>
      <c r="E841" s="31" t="n"/>
      <c r="F841" s="30" t="n"/>
      <c r="G841" s="30">
        <f>IF(A841="","",MONTH(A841))</f>
        <v/>
      </c>
    </row>
    <row r="842">
      <c r="A842" s="29" t="n"/>
      <c r="B842" s="30" t="n"/>
      <c r="C842" s="30" t="n"/>
      <c r="D842" s="30" t="n"/>
      <c r="E842" s="31" t="n"/>
      <c r="F842" s="30" t="n"/>
      <c r="G842" s="30">
        <f>IF(A842="","",MONTH(A842))</f>
        <v/>
      </c>
    </row>
    <row r="843">
      <c r="A843" s="29" t="n"/>
      <c r="B843" s="30" t="n"/>
      <c r="C843" s="30" t="n"/>
      <c r="D843" s="30" t="n"/>
      <c r="E843" s="31" t="n"/>
      <c r="F843" s="30" t="n"/>
      <c r="G843" s="30">
        <f>IF(A843="","",MONTH(A843))</f>
        <v/>
      </c>
    </row>
    <row r="844">
      <c r="A844" s="29" t="n"/>
      <c r="B844" s="30" t="n"/>
      <c r="C844" s="30" t="n"/>
      <c r="D844" s="30" t="n"/>
      <c r="E844" s="31" t="n"/>
      <c r="F844" s="30" t="n"/>
      <c r="G844" s="30">
        <f>IF(A844="","",MONTH(A844))</f>
        <v/>
      </c>
    </row>
    <row r="845">
      <c r="A845" s="29" t="n"/>
      <c r="B845" s="30" t="n"/>
      <c r="C845" s="30" t="n"/>
      <c r="D845" s="30" t="n"/>
      <c r="E845" s="31" t="n"/>
      <c r="F845" s="30" t="n"/>
      <c r="G845" s="30">
        <f>IF(A845="","",MONTH(A845))</f>
        <v/>
      </c>
    </row>
    <row r="846">
      <c r="A846" s="29" t="n"/>
      <c r="B846" s="30" t="n"/>
      <c r="C846" s="30" t="n"/>
      <c r="D846" s="30" t="n"/>
      <c r="E846" s="31" t="n"/>
      <c r="F846" s="30" t="n"/>
      <c r="G846" s="30">
        <f>IF(A846="","",MONTH(A846))</f>
        <v/>
      </c>
    </row>
    <row r="847">
      <c r="A847" s="29" t="n"/>
      <c r="B847" s="30" t="n"/>
      <c r="C847" s="30" t="n"/>
      <c r="D847" s="30" t="n"/>
      <c r="E847" s="31" t="n"/>
      <c r="F847" s="30" t="n"/>
      <c r="G847" s="30">
        <f>IF(A847="","",MONTH(A847))</f>
        <v/>
      </c>
    </row>
    <row r="848">
      <c r="A848" s="29" t="n"/>
      <c r="B848" s="30" t="n"/>
      <c r="C848" s="30" t="n"/>
      <c r="D848" s="30" t="n"/>
      <c r="E848" s="31" t="n"/>
      <c r="F848" s="30" t="n"/>
      <c r="G848" s="30">
        <f>IF(A848="","",MONTH(A848))</f>
        <v/>
      </c>
    </row>
    <row r="849">
      <c r="A849" s="29" t="n"/>
      <c r="B849" s="30" t="n"/>
      <c r="C849" s="30" t="n"/>
      <c r="D849" s="30" t="n"/>
      <c r="E849" s="31" t="n"/>
      <c r="F849" s="30" t="n"/>
      <c r="G849" s="30">
        <f>IF(A849="","",MONTH(A849))</f>
        <v/>
      </c>
    </row>
    <row r="850">
      <c r="A850" s="29" t="n"/>
      <c r="B850" s="30" t="n"/>
      <c r="C850" s="30" t="n"/>
      <c r="D850" s="30" t="n"/>
      <c r="E850" s="31" t="n"/>
      <c r="F850" s="30" t="n"/>
      <c r="G850" s="30">
        <f>IF(A850="","",MONTH(A850))</f>
        <v/>
      </c>
    </row>
    <row r="851">
      <c r="A851" s="29" t="n"/>
      <c r="B851" s="30" t="n"/>
      <c r="C851" s="30" t="n"/>
      <c r="D851" s="30" t="n"/>
      <c r="E851" s="31" t="n"/>
      <c r="F851" s="30" t="n"/>
      <c r="G851" s="30">
        <f>IF(A851="","",MONTH(A851))</f>
        <v/>
      </c>
    </row>
    <row r="852">
      <c r="A852" s="29" t="n"/>
      <c r="B852" s="30" t="n"/>
      <c r="C852" s="30" t="n"/>
      <c r="D852" s="30" t="n"/>
      <c r="E852" s="31" t="n"/>
      <c r="F852" s="30" t="n"/>
      <c r="G852" s="30">
        <f>IF(A852="","",MONTH(A852))</f>
        <v/>
      </c>
    </row>
    <row r="853">
      <c r="A853" s="29" t="n"/>
      <c r="B853" s="30" t="n"/>
      <c r="C853" s="30" t="n"/>
      <c r="D853" s="30" t="n"/>
      <c r="E853" s="31" t="n"/>
      <c r="F853" s="30" t="n"/>
      <c r="G853" s="30">
        <f>IF(A853="","",MONTH(A853))</f>
        <v/>
      </c>
    </row>
    <row r="854">
      <c r="A854" s="29" t="n"/>
      <c r="B854" s="30" t="n"/>
      <c r="C854" s="30" t="n"/>
      <c r="D854" s="30" t="n"/>
      <c r="E854" s="31" t="n"/>
      <c r="F854" s="30" t="n"/>
      <c r="G854" s="30">
        <f>IF(A854="","",MONTH(A854))</f>
        <v/>
      </c>
    </row>
    <row r="855">
      <c r="A855" s="29" t="n"/>
      <c r="B855" s="30" t="n"/>
      <c r="C855" s="30" t="n"/>
      <c r="D855" s="30" t="n"/>
      <c r="E855" s="31" t="n"/>
      <c r="F855" s="30" t="n"/>
      <c r="G855" s="30">
        <f>IF(A855="","",MONTH(A855))</f>
        <v/>
      </c>
    </row>
    <row r="856">
      <c r="A856" s="29" t="n"/>
      <c r="B856" s="30" t="n"/>
      <c r="C856" s="30" t="n"/>
      <c r="D856" s="30" t="n"/>
      <c r="E856" s="31" t="n"/>
      <c r="F856" s="30" t="n"/>
      <c r="G856" s="30">
        <f>IF(A856="","",MONTH(A856))</f>
        <v/>
      </c>
    </row>
    <row r="857">
      <c r="A857" s="29" t="n"/>
      <c r="B857" s="30" t="n"/>
      <c r="C857" s="30" t="n"/>
      <c r="D857" s="30" t="n"/>
      <c r="E857" s="31" t="n"/>
      <c r="F857" s="30" t="n"/>
      <c r="G857" s="30">
        <f>IF(A857="","",MONTH(A857))</f>
        <v/>
      </c>
    </row>
    <row r="858">
      <c r="A858" s="29" t="n"/>
      <c r="B858" s="30" t="n"/>
      <c r="C858" s="30" t="n"/>
      <c r="D858" s="30" t="n"/>
      <c r="E858" s="31" t="n"/>
      <c r="F858" s="30" t="n"/>
      <c r="G858" s="30">
        <f>IF(A858="","",MONTH(A858))</f>
        <v/>
      </c>
    </row>
    <row r="859">
      <c r="A859" s="29" t="n"/>
      <c r="B859" s="30" t="n"/>
      <c r="C859" s="30" t="n"/>
      <c r="D859" s="30" t="n"/>
      <c r="E859" s="31" t="n"/>
      <c r="F859" s="30" t="n"/>
      <c r="G859" s="30">
        <f>IF(A859="","",MONTH(A859))</f>
        <v/>
      </c>
    </row>
    <row r="860">
      <c r="A860" s="29" t="n"/>
      <c r="B860" s="30" t="n"/>
      <c r="C860" s="30" t="n"/>
      <c r="D860" s="30" t="n"/>
      <c r="E860" s="31" t="n"/>
      <c r="F860" s="30" t="n"/>
      <c r="G860" s="30">
        <f>IF(A860="","",MONTH(A860))</f>
        <v/>
      </c>
    </row>
    <row r="861">
      <c r="A861" s="29" t="n"/>
      <c r="B861" s="30" t="n"/>
      <c r="C861" s="30" t="n"/>
      <c r="D861" s="30" t="n"/>
      <c r="E861" s="31" t="n"/>
      <c r="F861" s="30" t="n"/>
      <c r="G861" s="30">
        <f>IF(A861="","",MONTH(A861))</f>
        <v/>
      </c>
    </row>
    <row r="862">
      <c r="A862" s="29" t="n"/>
      <c r="B862" s="30" t="n"/>
      <c r="C862" s="30" t="n"/>
      <c r="D862" s="30" t="n"/>
      <c r="E862" s="31" t="n"/>
      <c r="F862" s="30" t="n"/>
      <c r="G862" s="30">
        <f>IF(A862="","",MONTH(A862))</f>
        <v/>
      </c>
    </row>
    <row r="863">
      <c r="A863" s="29" t="n"/>
      <c r="B863" s="30" t="n"/>
      <c r="C863" s="30" t="n"/>
      <c r="D863" s="30" t="n"/>
      <c r="E863" s="31" t="n"/>
      <c r="F863" s="30" t="n"/>
      <c r="G863" s="30">
        <f>IF(A863="","",MONTH(A863))</f>
        <v/>
      </c>
    </row>
    <row r="864">
      <c r="A864" s="29" t="n"/>
      <c r="B864" s="30" t="n"/>
      <c r="C864" s="30" t="n"/>
      <c r="D864" s="30" t="n"/>
      <c r="E864" s="31" t="n"/>
      <c r="F864" s="30" t="n"/>
      <c r="G864" s="30">
        <f>IF(A864="","",MONTH(A864))</f>
        <v/>
      </c>
    </row>
    <row r="865">
      <c r="A865" s="29" t="n"/>
      <c r="B865" s="30" t="n"/>
      <c r="C865" s="30" t="n"/>
      <c r="D865" s="30" t="n"/>
      <c r="E865" s="31" t="n"/>
      <c r="F865" s="30" t="n"/>
      <c r="G865" s="30">
        <f>IF(A865="","",MONTH(A865))</f>
        <v/>
      </c>
    </row>
    <row r="866">
      <c r="A866" s="29" t="n"/>
      <c r="B866" s="30" t="n"/>
      <c r="C866" s="30" t="n"/>
      <c r="D866" s="30" t="n"/>
      <c r="E866" s="31" t="n"/>
      <c r="F866" s="30" t="n"/>
      <c r="G866" s="30">
        <f>IF(A866="","",MONTH(A866))</f>
        <v/>
      </c>
    </row>
    <row r="867">
      <c r="A867" s="29" t="n"/>
      <c r="B867" s="30" t="n"/>
      <c r="C867" s="30" t="n"/>
      <c r="D867" s="30" t="n"/>
      <c r="E867" s="31" t="n"/>
      <c r="F867" s="30" t="n"/>
      <c r="G867" s="30">
        <f>IF(A867="","",MONTH(A867))</f>
        <v/>
      </c>
    </row>
    <row r="868">
      <c r="A868" s="29" t="n"/>
      <c r="B868" s="30" t="n"/>
      <c r="C868" s="30" t="n"/>
      <c r="D868" s="30" t="n"/>
      <c r="E868" s="31" t="n"/>
      <c r="F868" s="30" t="n"/>
      <c r="G868" s="30">
        <f>IF(A868="","",MONTH(A868))</f>
        <v/>
      </c>
    </row>
    <row r="869">
      <c r="A869" s="29" t="n"/>
      <c r="B869" s="30" t="n"/>
      <c r="C869" s="30" t="n"/>
      <c r="D869" s="30" t="n"/>
      <c r="E869" s="31" t="n"/>
      <c r="F869" s="30" t="n"/>
      <c r="G869" s="30">
        <f>IF(A869="","",MONTH(A869))</f>
        <v/>
      </c>
    </row>
    <row r="870">
      <c r="A870" s="29" t="n"/>
      <c r="B870" s="30" t="n"/>
      <c r="C870" s="30" t="n"/>
      <c r="D870" s="30" t="n"/>
      <c r="E870" s="31" t="n"/>
      <c r="F870" s="30" t="n"/>
      <c r="G870" s="30">
        <f>IF(A870="","",MONTH(A870))</f>
        <v/>
      </c>
    </row>
    <row r="871">
      <c r="A871" s="29" t="n"/>
      <c r="B871" s="30" t="n"/>
      <c r="C871" s="30" t="n"/>
      <c r="D871" s="30" t="n"/>
      <c r="E871" s="31" t="n"/>
      <c r="F871" s="30" t="n"/>
      <c r="G871" s="30">
        <f>IF(A871="","",MONTH(A871))</f>
        <v/>
      </c>
    </row>
    <row r="872">
      <c r="A872" s="29" t="n"/>
      <c r="B872" s="30" t="n"/>
      <c r="C872" s="30" t="n"/>
      <c r="D872" s="30" t="n"/>
      <c r="E872" s="31" t="n"/>
      <c r="F872" s="30" t="n"/>
      <c r="G872" s="30">
        <f>IF(A872="","",MONTH(A872))</f>
        <v/>
      </c>
    </row>
    <row r="873">
      <c r="A873" s="29" t="n"/>
      <c r="B873" s="30" t="n"/>
      <c r="C873" s="30" t="n"/>
      <c r="D873" s="30" t="n"/>
      <c r="E873" s="31" t="n"/>
      <c r="F873" s="30" t="n"/>
      <c r="G873" s="30">
        <f>IF(A873="","",MONTH(A873))</f>
        <v/>
      </c>
    </row>
    <row r="874">
      <c r="A874" s="29" t="n"/>
      <c r="B874" s="30" t="n"/>
      <c r="C874" s="30" t="n"/>
      <c r="D874" s="30" t="n"/>
      <c r="E874" s="31" t="n"/>
      <c r="F874" s="30" t="n"/>
      <c r="G874" s="30">
        <f>IF(A874="","",MONTH(A874))</f>
        <v/>
      </c>
    </row>
    <row r="875">
      <c r="A875" s="29" t="n"/>
      <c r="B875" s="30" t="n"/>
      <c r="C875" s="30" t="n"/>
      <c r="D875" s="30" t="n"/>
      <c r="E875" s="31" t="n"/>
      <c r="F875" s="30" t="n"/>
      <c r="G875" s="30">
        <f>IF(A875="","",MONTH(A875))</f>
        <v/>
      </c>
    </row>
    <row r="876">
      <c r="A876" s="29" t="n"/>
      <c r="B876" s="30" t="n"/>
      <c r="C876" s="30" t="n"/>
      <c r="D876" s="30" t="n"/>
      <c r="E876" s="31" t="n"/>
      <c r="F876" s="30" t="n"/>
      <c r="G876" s="30">
        <f>IF(A876="","",MONTH(A876))</f>
        <v/>
      </c>
    </row>
    <row r="877">
      <c r="A877" s="29" t="n"/>
      <c r="B877" s="30" t="n"/>
      <c r="C877" s="30" t="n"/>
      <c r="D877" s="30" t="n"/>
      <c r="E877" s="31" t="n"/>
      <c r="F877" s="30" t="n"/>
      <c r="G877" s="30">
        <f>IF(A877="","",MONTH(A877))</f>
        <v/>
      </c>
    </row>
    <row r="878">
      <c r="A878" s="29" t="n"/>
      <c r="B878" s="30" t="n"/>
      <c r="C878" s="30" t="n"/>
      <c r="D878" s="30" t="n"/>
      <c r="E878" s="31" t="n"/>
      <c r="F878" s="30" t="n"/>
      <c r="G878" s="30">
        <f>IF(A878="","",MONTH(A878))</f>
        <v/>
      </c>
    </row>
    <row r="879">
      <c r="A879" s="29" t="n"/>
      <c r="B879" s="30" t="n"/>
      <c r="C879" s="30" t="n"/>
      <c r="D879" s="30" t="n"/>
      <c r="E879" s="31" t="n"/>
      <c r="F879" s="30" t="n"/>
      <c r="G879" s="30">
        <f>IF(A879="","",MONTH(A879))</f>
        <v/>
      </c>
    </row>
    <row r="880">
      <c r="A880" s="29" t="n"/>
      <c r="B880" s="30" t="n"/>
      <c r="C880" s="30" t="n"/>
      <c r="D880" s="30" t="n"/>
      <c r="E880" s="31" t="n"/>
      <c r="F880" s="30" t="n"/>
      <c r="G880" s="30">
        <f>IF(A880="","",MONTH(A880))</f>
        <v/>
      </c>
    </row>
    <row r="881">
      <c r="A881" s="29" t="n"/>
      <c r="B881" s="30" t="n"/>
      <c r="C881" s="30" t="n"/>
      <c r="D881" s="30" t="n"/>
      <c r="E881" s="31" t="n"/>
      <c r="F881" s="30" t="n"/>
      <c r="G881" s="30">
        <f>IF(A881="","",MONTH(A881))</f>
        <v/>
      </c>
    </row>
    <row r="882">
      <c r="A882" s="29" t="n"/>
      <c r="B882" s="30" t="n"/>
      <c r="C882" s="30" t="n"/>
      <c r="D882" s="30" t="n"/>
      <c r="E882" s="31" t="n"/>
      <c r="F882" s="30" t="n"/>
      <c r="G882" s="30">
        <f>IF(A882="","",MONTH(A882))</f>
        <v/>
      </c>
    </row>
    <row r="883">
      <c r="A883" s="29" t="n"/>
      <c r="B883" s="30" t="n"/>
      <c r="C883" s="30" t="n"/>
      <c r="D883" s="30" t="n"/>
      <c r="E883" s="31" t="n"/>
      <c r="F883" s="30" t="n"/>
      <c r="G883" s="30">
        <f>IF(A883="","",MONTH(A883))</f>
        <v/>
      </c>
    </row>
    <row r="884">
      <c r="A884" s="29" t="n"/>
      <c r="B884" s="30" t="n"/>
      <c r="C884" s="30" t="n"/>
      <c r="D884" s="30" t="n"/>
      <c r="E884" s="31" t="n"/>
      <c r="F884" s="30" t="n"/>
      <c r="G884" s="30">
        <f>IF(A884="","",MONTH(A884))</f>
        <v/>
      </c>
    </row>
    <row r="885">
      <c r="A885" s="29" t="n"/>
      <c r="B885" s="30" t="n"/>
      <c r="C885" s="30" t="n"/>
      <c r="D885" s="30" t="n"/>
      <c r="E885" s="31" t="n"/>
      <c r="F885" s="30" t="n"/>
      <c r="G885" s="30">
        <f>IF(A885="","",MONTH(A885))</f>
        <v/>
      </c>
    </row>
    <row r="886">
      <c r="A886" s="29" t="n"/>
      <c r="B886" s="30" t="n"/>
      <c r="C886" s="30" t="n"/>
      <c r="D886" s="30" t="n"/>
      <c r="E886" s="31" t="n"/>
      <c r="F886" s="30" t="n"/>
      <c r="G886" s="30">
        <f>IF(A886="","",MONTH(A886))</f>
        <v/>
      </c>
    </row>
    <row r="887">
      <c r="A887" s="29" t="n"/>
      <c r="B887" s="30" t="n"/>
      <c r="C887" s="30" t="n"/>
      <c r="D887" s="30" t="n"/>
      <c r="E887" s="31" t="n"/>
      <c r="F887" s="30" t="n"/>
      <c r="G887" s="30">
        <f>IF(A887="","",MONTH(A887))</f>
        <v/>
      </c>
    </row>
    <row r="888">
      <c r="A888" s="29" t="n"/>
      <c r="B888" s="30" t="n"/>
      <c r="C888" s="30" t="n"/>
      <c r="D888" s="30" t="n"/>
      <c r="E888" s="31" t="n"/>
      <c r="F888" s="30" t="n"/>
      <c r="G888" s="30">
        <f>IF(A888="","",MONTH(A888))</f>
        <v/>
      </c>
    </row>
    <row r="889">
      <c r="A889" s="29" t="n"/>
      <c r="B889" s="30" t="n"/>
      <c r="C889" s="30" t="n"/>
      <c r="D889" s="30" t="n"/>
      <c r="E889" s="31" t="n"/>
      <c r="F889" s="30" t="n"/>
      <c r="G889" s="30">
        <f>IF(A889="","",MONTH(A889))</f>
        <v/>
      </c>
    </row>
    <row r="890">
      <c r="A890" s="29" t="n"/>
      <c r="B890" s="30" t="n"/>
      <c r="C890" s="30" t="n"/>
      <c r="D890" s="30" t="n"/>
      <c r="E890" s="31" t="n"/>
      <c r="F890" s="30" t="n"/>
      <c r="G890" s="30">
        <f>IF(A890="","",MONTH(A890))</f>
        <v/>
      </c>
    </row>
    <row r="891">
      <c r="A891" s="29" t="n"/>
      <c r="B891" s="30" t="n"/>
      <c r="C891" s="30" t="n"/>
      <c r="D891" s="30" t="n"/>
      <c r="E891" s="31" t="n"/>
      <c r="F891" s="30" t="n"/>
      <c r="G891" s="30">
        <f>IF(A891="","",MONTH(A891))</f>
        <v/>
      </c>
    </row>
    <row r="892">
      <c r="A892" s="29" t="n"/>
      <c r="B892" s="30" t="n"/>
      <c r="C892" s="30" t="n"/>
      <c r="D892" s="30" t="n"/>
      <c r="E892" s="31" t="n"/>
      <c r="F892" s="30" t="n"/>
      <c r="G892" s="30">
        <f>IF(A892="","",MONTH(A892))</f>
        <v/>
      </c>
    </row>
    <row r="893">
      <c r="A893" s="29" t="n"/>
      <c r="B893" s="30" t="n"/>
      <c r="C893" s="30" t="n"/>
      <c r="D893" s="30" t="n"/>
      <c r="E893" s="31" t="n"/>
      <c r="F893" s="30" t="n"/>
      <c r="G893" s="30">
        <f>IF(A893="","",MONTH(A893))</f>
        <v/>
      </c>
    </row>
    <row r="894">
      <c r="A894" s="29" t="n"/>
      <c r="B894" s="30" t="n"/>
      <c r="C894" s="30" t="n"/>
      <c r="D894" s="30" t="n"/>
      <c r="E894" s="31" t="n"/>
      <c r="F894" s="30" t="n"/>
      <c r="G894" s="30">
        <f>IF(A894="","",MONTH(A894))</f>
        <v/>
      </c>
    </row>
    <row r="895">
      <c r="A895" s="29" t="n"/>
      <c r="B895" s="30" t="n"/>
      <c r="C895" s="30" t="n"/>
      <c r="D895" s="30" t="n"/>
      <c r="E895" s="31" t="n"/>
      <c r="F895" s="30" t="n"/>
      <c r="G895" s="30">
        <f>IF(A895="","",MONTH(A895))</f>
        <v/>
      </c>
    </row>
    <row r="896">
      <c r="A896" s="29" t="n"/>
      <c r="B896" s="30" t="n"/>
      <c r="C896" s="30" t="n"/>
      <c r="D896" s="30" t="n"/>
      <c r="E896" s="31" t="n"/>
      <c r="F896" s="30" t="n"/>
      <c r="G896" s="30">
        <f>IF(A896="","",MONTH(A896))</f>
        <v/>
      </c>
    </row>
    <row r="897">
      <c r="A897" s="29" t="n"/>
      <c r="B897" s="30" t="n"/>
      <c r="C897" s="30" t="n"/>
      <c r="D897" s="30" t="n"/>
      <c r="E897" s="31" t="n"/>
      <c r="F897" s="30" t="n"/>
      <c r="G897" s="30">
        <f>IF(A897="","",MONTH(A897))</f>
        <v/>
      </c>
    </row>
    <row r="898">
      <c r="A898" s="29" t="n"/>
      <c r="B898" s="30" t="n"/>
      <c r="C898" s="30" t="n"/>
      <c r="D898" s="30" t="n"/>
      <c r="E898" s="31" t="n"/>
      <c r="F898" s="30" t="n"/>
      <c r="G898" s="30">
        <f>IF(A898="","",MONTH(A898))</f>
        <v/>
      </c>
    </row>
    <row r="899">
      <c r="A899" s="29" t="n"/>
      <c r="B899" s="30" t="n"/>
      <c r="C899" s="30" t="n"/>
      <c r="D899" s="30" t="n"/>
      <c r="E899" s="31" t="n"/>
      <c r="F899" s="30" t="n"/>
      <c r="G899" s="30">
        <f>IF(A899="","",MONTH(A899))</f>
        <v/>
      </c>
    </row>
    <row r="900">
      <c r="A900" s="29" t="n"/>
      <c r="B900" s="30" t="n"/>
      <c r="C900" s="30" t="n"/>
      <c r="D900" s="30" t="n"/>
      <c r="E900" s="31" t="n"/>
      <c r="F900" s="30" t="n"/>
      <c r="G900" s="30">
        <f>IF(A900="","",MONTH(A900))</f>
        <v/>
      </c>
    </row>
    <row r="901">
      <c r="A901" s="29" t="n"/>
      <c r="B901" s="30" t="n"/>
      <c r="C901" s="30" t="n"/>
      <c r="D901" s="30" t="n"/>
      <c r="E901" s="31" t="n"/>
      <c r="F901" s="30" t="n"/>
      <c r="G901" s="30">
        <f>IF(A901="","",MONTH(A901))</f>
        <v/>
      </c>
    </row>
    <row r="902">
      <c r="A902" s="29" t="n"/>
      <c r="B902" s="30" t="n"/>
      <c r="C902" s="30" t="n"/>
      <c r="D902" s="30" t="n"/>
      <c r="E902" s="31" t="n"/>
      <c r="F902" s="30" t="n"/>
      <c r="G902" s="30">
        <f>IF(A902="","",MONTH(A902))</f>
        <v/>
      </c>
    </row>
    <row r="903">
      <c r="A903" s="29" t="n"/>
      <c r="B903" s="30" t="n"/>
      <c r="C903" s="30" t="n"/>
      <c r="D903" s="30" t="n"/>
      <c r="E903" s="31" t="n"/>
      <c r="F903" s="30" t="n"/>
      <c r="G903" s="30">
        <f>IF(A903="","",MONTH(A903))</f>
        <v/>
      </c>
    </row>
    <row r="904">
      <c r="A904" s="29" t="n"/>
      <c r="B904" s="30" t="n"/>
      <c r="C904" s="30" t="n"/>
      <c r="D904" s="30" t="n"/>
      <c r="E904" s="31" t="n"/>
      <c r="F904" s="30" t="n"/>
      <c r="G904" s="30">
        <f>IF(A904="","",MONTH(A904))</f>
        <v/>
      </c>
    </row>
    <row r="905">
      <c r="A905" s="29" t="n"/>
      <c r="B905" s="30" t="n"/>
      <c r="C905" s="30" t="n"/>
      <c r="D905" s="30" t="n"/>
      <c r="E905" s="31" t="n"/>
      <c r="F905" s="30" t="n"/>
      <c r="G905" s="30">
        <f>IF(A905="","",MONTH(A905))</f>
        <v/>
      </c>
    </row>
    <row r="906">
      <c r="A906" s="29" t="n"/>
      <c r="B906" s="30" t="n"/>
      <c r="C906" s="30" t="n"/>
      <c r="D906" s="30" t="n"/>
      <c r="E906" s="31" t="n"/>
      <c r="F906" s="30" t="n"/>
      <c r="G906" s="30">
        <f>IF(A906="","",MONTH(A906))</f>
        <v/>
      </c>
    </row>
    <row r="907">
      <c r="A907" s="29" t="n"/>
      <c r="B907" s="30" t="n"/>
      <c r="C907" s="30" t="n"/>
      <c r="D907" s="30" t="n"/>
      <c r="E907" s="31" t="n"/>
      <c r="F907" s="30" t="n"/>
      <c r="G907" s="30">
        <f>IF(A907="","",MONTH(A907))</f>
        <v/>
      </c>
    </row>
    <row r="908">
      <c r="A908" s="29" t="n"/>
      <c r="B908" s="30" t="n"/>
      <c r="C908" s="30" t="n"/>
      <c r="D908" s="30" t="n"/>
      <c r="E908" s="31" t="n"/>
      <c r="F908" s="30" t="n"/>
      <c r="G908" s="30">
        <f>IF(A908="","",MONTH(A908))</f>
        <v/>
      </c>
    </row>
    <row r="909">
      <c r="A909" s="29" t="n"/>
      <c r="B909" s="30" t="n"/>
      <c r="C909" s="30" t="n"/>
      <c r="D909" s="30" t="n"/>
      <c r="E909" s="31" t="n"/>
      <c r="F909" s="30" t="n"/>
      <c r="G909" s="30">
        <f>IF(A909="","",MONTH(A909))</f>
        <v/>
      </c>
    </row>
    <row r="910">
      <c r="A910" s="29" t="n"/>
      <c r="B910" s="30" t="n"/>
      <c r="C910" s="30" t="n"/>
      <c r="D910" s="30" t="n"/>
      <c r="E910" s="31" t="n"/>
      <c r="F910" s="30" t="n"/>
      <c r="G910" s="30">
        <f>IF(A910="","",MONTH(A910))</f>
        <v/>
      </c>
    </row>
    <row r="911">
      <c r="A911" s="29" t="n"/>
      <c r="B911" s="30" t="n"/>
      <c r="C911" s="30" t="n"/>
      <c r="D911" s="30" t="n"/>
      <c r="E911" s="31" t="n"/>
      <c r="F911" s="30" t="n"/>
      <c r="G911" s="30">
        <f>IF(A911="","",MONTH(A911))</f>
        <v/>
      </c>
    </row>
    <row r="912">
      <c r="A912" s="29" t="n"/>
      <c r="B912" s="30" t="n"/>
      <c r="C912" s="30" t="n"/>
      <c r="D912" s="30" t="n"/>
      <c r="E912" s="31" t="n"/>
      <c r="F912" s="30" t="n"/>
      <c r="G912" s="30">
        <f>IF(A912="","",MONTH(A912))</f>
        <v/>
      </c>
    </row>
    <row r="913">
      <c r="A913" s="29" t="n"/>
      <c r="B913" s="30" t="n"/>
      <c r="C913" s="30" t="n"/>
      <c r="D913" s="30" t="n"/>
      <c r="E913" s="31" t="n"/>
      <c r="F913" s="30" t="n"/>
      <c r="G913" s="30">
        <f>IF(A913="","",MONTH(A913))</f>
        <v/>
      </c>
    </row>
    <row r="914">
      <c r="A914" s="29" t="n"/>
      <c r="B914" s="30" t="n"/>
      <c r="C914" s="30" t="n"/>
      <c r="D914" s="30" t="n"/>
      <c r="E914" s="31" t="n"/>
      <c r="F914" s="30" t="n"/>
      <c r="G914" s="30">
        <f>IF(A914="","",MONTH(A914))</f>
        <v/>
      </c>
    </row>
    <row r="915">
      <c r="A915" s="29" t="n"/>
      <c r="B915" s="30" t="n"/>
      <c r="C915" s="30" t="n"/>
      <c r="D915" s="30" t="n"/>
      <c r="E915" s="31" t="n"/>
      <c r="F915" s="30" t="n"/>
      <c r="G915" s="30">
        <f>IF(A915="","",MONTH(A915))</f>
        <v/>
      </c>
    </row>
    <row r="916">
      <c r="A916" s="29" t="n"/>
      <c r="B916" s="30" t="n"/>
      <c r="C916" s="30" t="n"/>
      <c r="D916" s="30" t="n"/>
      <c r="E916" s="31" t="n"/>
      <c r="F916" s="30" t="n"/>
      <c r="G916" s="30">
        <f>IF(A916="","",MONTH(A916))</f>
        <v/>
      </c>
    </row>
    <row r="917">
      <c r="A917" s="29" t="n"/>
      <c r="B917" s="30" t="n"/>
      <c r="C917" s="30" t="n"/>
      <c r="D917" s="30" t="n"/>
      <c r="E917" s="31" t="n"/>
      <c r="F917" s="30" t="n"/>
      <c r="G917" s="30">
        <f>IF(A917="","",MONTH(A917))</f>
        <v/>
      </c>
    </row>
    <row r="918">
      <c r="A918" s="29" t="n"/>
      <c r="B918" s="30" t="n"/>
      <c r="C918" s="30" t="n"/>
      <c r="D918" s="30" t="n"/>
      <c r="E918" s="31" t="n"/>
      <c r="F918" s="30" t="n"/>
      <c r="G918" s="30">
        <f>IF(A918="","",MONTH(A918))</f>
        <v/>
      </c>
    </row>
    <row r="919">
      <c r="A919" s="29" t="n"/>
      <c r="B919" s="30" t="n"/>
      <c r="C919" s="30" t="n"/>
      <c r="D919" s="30" t="n"/>
      <c r="E919" s="31" t="n"/>
      <c r="F919" s="30" t="n"/>
      <c r="G919" s="30">
        <f>IF(A919="","",MONTH(A919))</f>
        <v/>
      </c>
    </row>
    <row r="920">
      <c r="A920" s="29" t="n"/>
      <c r="B920" s="30" t="n"/>
      <c r="C920" s="30" t="n"/>
      <c r="D920" s="30" t="n"/>
      <c r="E920" s="31" t="n"/>
      <c r="F920" s="30" t="n"/>
      <c r="G920" s="30">
        <f>IF(A920="","",MONTH(A920))</f>
        <v/>
      </c>
    </row>
    <row r="921">
      <c r="A921" s="29" t="n"/>
      <c r="B921" s="30" t="n"/>
      <c r="C921" s="30" t="n"/>
      <c r="D921" s="30" t="n"/>
      <c r="E921" s="31" t="n"/>
      <c r="F921" s="30" t="n"/>
      <c r="G921" s="30">
        <f>IF(A921="","",MONTH(A921))</f>
        <v/>
      </c>
    </row>
    <row r="922">
      <c r="A922" s="29" t="n"/>
      <c r="B922" s="30" t="n"/>
      <c r="C922" s="30" t="n"/>
      <c r="D922" s="30" t="n"/>
      <c r="E922" s="31" t="n"/>
      <c r="F922" s="30" t="n"/>
      <c r="G922" s="30">
        <f>IF(A922="","",MONTH(A922))</f>
        <v/>
      </c>
    </row>
    <row r="923">
      <c r="A923" s="29" t="n"/>
      <c r="B923" s="30" t="n"/>
      <c r="C923" s="30" t="n"/>
      <c r="D923" s="30" t="n"/>
      <c r="E923" s="31" t="n"/>
      <c r="F923" s="30" t="n"/>
      <c r="G923" s="30">
        <f>IF(A923="","",MONTH(A923))</f>
        <v/>
      </c>
    </row>
    <row r="924">
      <c r="A924" s="29" t="n"/>
      <c r="B924" s="30" t="n"/>
      <c r="C924" s="30" t="n"/>
      <c r="D924" s="30" t="n"/>
      <c r="E924" s="31" t="n"/>
      <c r="F924" s="30" t="n"/>
      <c r="G924" s="30">
        <f>IF(A924="","",MONTH(A924))</f>
        <v/>
      </c>
    </row>
    <row r="925">
      <c r="A925" s="29" t="n"/>
      <c r="B925" s="30" t="n"/>
      <c r="C925" s="30" t="n"/>
      <c r="D925" s="30" t="n"/>
      <c r="E925" s="31" t="n"/>
      <c r="F925" s="30" t="n"/>
      <c r="G925" s="30">
        <f>IF(A925="","",MONTH(A925))</f>
        <v/>
      </c>
    </row>
    <row r="926">
      <c r="A926" s="29" t="n"/>
      <c r="B926" s="30" t="n"/>
      <c r="C926" s="30" t="n"/>
      <c r="D926" s="30" t="n"/>
      <c r="E926" s="31" t="n"/>
      <c r="F926" s="30" t="n"/>
      <c r="G926" s="30">
        <f>IF(A926="","",MONTH(A926))</f>
        <v/>
      </c>
    </row>
    <row r="927">
      <c r="A927" s="29" t="n"/>
      <c r="B927" s="30" t="n"/>
      <c r="C927" s="30" t="n"/>
      <c r="D927" s="30" t="n"/>
      <c r="E927" s="31" t="n"/>
      <c r="F927" s="30" t="n"/>
      <c r="G927" s="30">
        <f>IF(A927="","",MONTH(A927))</f>
        <v/>
      </c>
    </row>
    <row r="928">
      <c r="A928" s="29" t="n"/>
      <c r="B928" s="30" t="n"/>
      <c r="C928" s="30" t="n"/>
      <c r="D928" s="30" t="n"/>
      <c r="E928" s="31" t="n"/>
      <c r="F928" s="30" t="n"/>
      <c r="G928" s="30">
        <f>IF(A928="","",MONTH(A928))</f>
        <v/>
      </c>
    </row>
    <row r="929">
      <c r="A929" s="29" t="n"/>
      <c r="B929" s="30" t="n"/>
      <c r="C929" s="30" t="n"/>
      <c r="D929" s="30" t="n"/>
      <c r="E929" s="31" t="n"/>
      <c r="F929" s="30" t="n"/>
      <c r="G929" s="30">
        <f>IF(A929="","",MONTH(A929))</f>
        <v/>
      </c>
    </row>
    <row r="930">
      <c r="A930" s="29" t="n"/>
      <c r="B930" s="30" t="n"/>
      <c r="C930" s="30" t="n"/>
      <c r="D930" s="30" t="n"/>
      <c r="E930" s="31" t="n"/>
      <c r="F930" s="30" t="n"/>
      <c r="G930" s="30">
        <f>IF(A930="","",MONTH(A930))</f>
        <v/>
      </c>
    </row>
    <row r="931">
      <c r="A931" s="29" t="n"/>
      <c r="B931" s="30" t="n"/>
      <c r="C931" s="30" t="n"/>
      <c r="D931" s="30" t="n"/>
      <c r="E931" s="31" t="n"/>
      <c r="F931" s="30" t="n"/>
      <c r="G931" s="30">
        <f>IF(A931="","",MONTH(A931))</f>
        <v/>
      </c>
    </row>
    <row r="932">
      <c r="A932" s="29" t="n"/>
      <c r="B932" s="30" t="n"/>
      <c r="C932" s="30" t="n"/>
      <c r="D932" s="30" t="n"/>
      <c r="E932" s="31" t="n"/>
      <c r="F932" s="30" t="n"/>
      <c r="G932" s="30">
        <f>IF(A932="","",MONTH(A932))</f>
        <v/>
      </c>
    </row>
    <row r="933">
      <c r="A933" s="29" t="n"/>
      <c r="B933" s="30" t="n"/>
      <c r="C933" s="30" t="n"/>
      <c r="D933" s="30" t="n"/>
      <c r="E933" s="31" t="n"/>
      <c r="F933" s="30" t="n"/>
      <c r="G933" s="30">
        <f>IF(A933="","",MONTH(A933))</f>
        <v/>
      </c>
    </row>
    <row r="934">
      <c r="A934" s="29" t="n"/>
      <c r="B934" s="30" t="n"/>
      <c r="C934" s="30" t="n"/>
      <c r="D934" s="30" t="n"/>
      <c r="E934" s="31" t="n"/>
      <c r="F934" s="30" t="n"/>
      <c r="G934" s="30">
        <f>IF(A934="","",MONTH(A934))</f>
        <v/>
      </c>
    </row>
    <row r="935">
      <c r="A935" s="29" t="n"/>
      <c r="B935" s="30" t="n"/>
      <c r="C935" s="30" t="n"/>
      <c r="D935" s="30" t="n"/>
      <c r="E935" s="31" t="n"/>
      <c r="F935" s="30" t="n"/>
      <c r="G935" s="30">
        <f>IF(A935="","",MONTH(A935))</f>
        <v/>
      </c>
    </row>
    <row r="936">
      <c r="A936" s="29" t="n"/>
      <c r="B936" s="30" t="n"/>
      <c r="C936" s="30" t="n"/>
      <c r="D936" s="30" t="n"/>
      <c r="E936" s="31" t="n"/>
      <c r="F936" s="30" t="n"/>
      <c r="G936" s="30">
        <f>IF(A936="","",MONTH(A936))</f>
        <v/>
      </c>
    </row>
    <row r="937">
      <c r="A937" s="29" t="n"/>
      <c r="B937" s="30" t="n"/>
      <c r="C937" s="30" t="n"/>
      <c r="D937" s="30" t="n"/>
      <c r="E937" s="31" t="n"/>
      <c r="F937" s="30" t="n"/>
      <c r="G937" s="30">
        <f>IF(A937="","",MONTH(A937))</f>
        <v/>
      </c>
    </row>
    <row r="938">
      <c r="A938" s="29" t="n"/>
      <c r="B938" s="30" t="n"/>
      <c r="C938" s="30" t="n"/>
      <c r="D938" s="30" t="n"/>
      <c r="E938" s="31" t="n"/>
      <c r="F938" s="30" t="n"/>
      <c r="G938" s="30">
        <f>IF(A938="","",MONTH(A938))</f>
        <v/>
      </c>
    </row>
    <row r="939">
      <c r="A939" s="29" t="n"/>
      <c r="B939" s="30" t="n"/>
      <c r="C939" s="30" t="n"/>
      <c r="D939" s="30" t="n"/>
      <c r="E939" s="31" t="n"/>
      <c r="F939" s="30" t="n"/>
      <c r="G939" s="30">
        <f>IF(A939="","",MONTH(A939))</f>
        <v/>
      </c>
    </row>
    <row r="940">
      <c r="A940" s="29" t="n"/>
      <c r="B940" s="30" t="n"/>
      <c r="C940" s="30" t="n"/>
      <c r="D940" s="30" t="n"/>
      <c r="E940" s="31" t="n"/>
      <c r="F940" s="30" t="n"/>
      <c r="G940" s="30">
        <f>IF(A940="","",MONTH(A940))</f>
        <v/>
      </c>
    </row>
    <row r="941">
      <c r="A941" s="29" t="n"/>
      <c r="B941" s="30" t="n"/>
      <c r="C941" s="30" t="n"/>
      <c r="D941" s="30" t="n"/>
      <c r="E941" s="31" t="n"/>
      <c r="F941" s="30" t="n"/>
      <c r="G941" s="30">
        <f>IF(A941="","",MONTH(A941))</f>
        <v/>
      </c>
    </row>
    <row r="942">
      <c r="A942" s="29" t="n"/>
      <c r="B942" s="30" t="n"/>
      <c r="C942" s="30" t="n"/>
      <c r="D942" s="30" t="n"/>
      <c r="E942" s="31" t="n"/>
      <c r="F942" s="30" t="n"/>
      <c r="G942" s="30">
        <f>IF(A942="","",MONTH(A942))</f>
        <v/>
      </c>
    </row>
    <row r="943">
      <c r="A943" s="29" t="n"/>
      <c r="B943" s="30" t="n"/>
      <c r="C943" s="30" t="n"/>
      <c r="D943" s="30" t="n"/>
      <c r="E943" s="31" t="n"/>
      <c r="F943" s="30" t="n"/>
      <c r="G943" s="30">
        <f>IF(A943="","",MONTH(A943))</f>
        <v/>
      </c>
    </row>
    <row r="944">
      <c r="A944" s="29" t="n"/>
      <c r="B944" s="30" t="n"/>
      <c r="C944" s="30" t="n"/>
      <c r="D944" s="30" t="n"/>
      <c r="E944" s="31" t="n"/>
      <c r="F944" s="30" t="n"/>
      <c r="G944" s="30">
        <f>IF(A944="","",MONTH(A944))</f>
        <v/>
      </c>
    </row>
    <row r="945">
      <c r="A945" s="29" t="n"/>
      <c r="B945" s="30" t="n"/>
      <c r="C945" s="30" t="n"/>
      <c r="D945" s="30" t="n"/>
      <c r="E945" s="31" t="n"/>
      <c r="F945" s="30" t="n"/>
      <c r="G945" s="30">
        <f>IF(A945="","",MONTH(A945))</f>
        <v/>
      </c>
    </row>
    <row r="946">
      <c r="A946" s="29" t="n"/>
      <c r="B946" s="30" t="n"/>
      <c r="C946" s="30" t="n"/>
      <c r="D946" s="30" t="n"/>
      <c r="E946" s="31" t="n"/>
      <c r="F946" s="30" t="n"/>
      <c r="G946" s="30">
        <f>IF(A946="","",MONTH(A946))</f>
        <v/>
      </c>
    </row>
    <row r="947">
      <c r="A947" s="29" t="n"/>
      <c r="B947" s="30" t="n"/>
      <c r="C947" s="30" t="n"/>
      <c r="D947" s="30" t="n"/>
      <c r="E947" s="31" t="n"/>
      <c r="F947" s="30" t="n"/>
      <c r="G947" s="30">
        <f>IF(A947="","",MONTH(A947))</f>
        <v/>
      </c>
    </row>
    <row r="948">
      <c r="A948" s="29" t="n"/>
      <c r="B948" s="30" t="n"/>
      <c r="C948" s="30" t="n"/>
      <c r="D948" s="30" t="n"/>
      <c r="E948" s="31" t="n"/>
      <c r="F948" s="30" t="n"/>
      <c r="G948" s="30">
        <f>IF(A948="","",MONTH(A948))</f>
        <v/>
      </c>
    </row>
    <row r="949">
      <c r="A949" s="29" t="n"/>
      <c r="B949" s="30" t="n"/>
      <c r="C949" s="30" t="n"/>
      <c r="D949" s="30" t="n"/>
      <c r="E949" s="31" t="n"/>
      <c r="F949" s="30" t="n"/>
      <c r="G949" s="30">
        <f>IF(A949="","",MONTH(A949))</f>
        <v/>
      </c>
    </row>
    <row r="950">
      <c r="A950" s="29" t="n"/>
      <c r="B950" s="30" t="n"/>
      <c r="C950" s="30" t="n"/>
      <c r="D950" s="30" t="n"/>
      <c r="E950" s="31" t="n"/>
      <c r="F950" s="30" t="n"/>
      <c r="G950" s="30">
        <f>IF(A950="","",MONTH(A950))</f>
        <v/>
      </c>
    </row>
    <row r="951">
      <c r="A951" s="29" t="n"/>
      <c r="B951" s="30" t="n"/>
      <c r="C951" s="30" t="n"/>
      <c r="D951" s="30" t="n"/>
      <c r="E951" s="31" t="n"/>
      <c r="F951" s="30" t="n"/>
      <c r="G951" s="30">
        <f>IF(A951="","",MONTH(A951))</f>
        <v/>
      </c>
    </row>
    <row r="952">
      <c r="A952" s="29" t="n"/>
      <c r="B952" s="30" t="n"/>
      <c r="C952" s="30" t="n"/>
      <c r="D952" s="30" t="n"/>
      <c r="E952" s="31" t="n"/>
      <c r="F952" s="30" t="n"/>
      <c r="G952" s="30">
        <f>IF(A952="","",MONTH(A952))</f>
        <v/>
      </c>
    </row>
    <row r="953">
      <c r="A953" s="29" t="n"/>
      <c r="B953" s="30" t="n"/>
      <c r="C953" s="30" t="n"/>
      <c r="D953" s="30" t="n"/>
      <c r="E953" s="31" t="n"/>
      <c r="F953" s="30" t="n"/>
      <c r="G953" s="30">
        <f>IF(A953="","",MONTH(A953))</f>
        <v/>
      </c>
    </row>
    <row r="954">
      <c r="A954" s="29" t="n"/>
      <c r="B954" s="30" t="n"/>
      <c r="C954" s="30" t="n"/>
      <c r="D954" s="30" t="n"/>
      <c r="E954" s="31" t="n"/>
      <c r="F954" s="30" t="n"/>
      <c r="G954" s="30">
        <f>IF(A954="","",MONTH(A954))</f>
        <v/>
      </c>
    </row>
    <row r="955">
      <c r="A955" s="29" t="n"/>
      <c r="B955" s="30" t="n"/>
      <c r="C955" s="30" t="n"/>
      <c r="D955" s="30" t="n"/>
      <c r="E955" s="31" t="n"/>
      <c r="F955" s="30" t="n"/>
      <c r="G955" s="30">
        <f>IF(A955="","",MONTH(A955))</f>
        <v/>
      </c>
    </row>
    <row r="956">
      <c r="A956" s="29" t="n"/>
      <c r="B956" s="30" t="n"/>
      <c r="C956" s="30" t="n"/>
      <c r="D956" s="30" t="n"/>
      <c r="E956" s="31" t="n"/>
      <c r="F956" s="30" t="n"/>
      <c r="G956" s="30">
        <f>IF(A956="","",MONTH(A956))</f>
        <v/>
      </c>
    </row>
    <row r="957">
      <c r="A957" s="29" t="n"/>
      <c r="B957" s="30" t="n"/>
      <c r="C957" s="30" t="n"/>
      <c r="D957" s="30" t="n"/>
      <c r="E957" s="31" t="n"/>
      <c r="F957" s="30" t="n"/>
      <c r="G957" s="30">
        <f>IF(A957="","",MONTH(A957))</f>
        <v/>
      </c>
    </row>
    <row r="958">
      <c r="A958" s="29" t="n"/>
      <c r="B958" s="30" t="n"/>
      <c r="C958" s="30" t="n"/>
      <c r="D958" s="30" t="n"/>
      <c r="E958" s="31" t="n"/>
      <c r="F958" s="30" t="n"/>
      <c r="G958" s="30">
        <f>IF(A958="","",MONTH(A958))</f>
        <v/>
      </c>
    </row>
    <row r="959">
      <c r="A959" s="29" t="n"/>
      <c r="B959" s="30" t="n"/>
      <c r="C959" s="30" t="n"/>
      <c r="D959" s="30" t="n"/>
      <c r="E959" s="31" t="n"/>
      <c r="F959" s="30" t="n"/>
      <c r="G959" s="30">
        <f>IF(A959="","",MONTH(A959))</f>
        <v/>
      </c>
    </row>
    <row r="960">
      <c r="A960" s="29" t="n"/>
      <c r="B960" s="30" t="n"/>
      <c r="C960" s="30" t="n"/>
      <c r="D960" s="30" t="n"/>
      <c r="E960" s="31" t="n"/>
      <c r="F960" s="30" t="n"/>
      <c r="G960" s="30">
        <f>IF(A960="","",MONTH(A960))</f>
        <v/>
      </c>
    </row>
    <row r="961">
      <c r="A961" s="29" t="n"/>
      <c r="B961" s="30" t="n"/>
      <c r="C961" s="30" t="n"/>
      <c r="D961" s="30" t="n"/>
      <c r="E961" s="31" t="n"/>
      <c r="F961" s="30" t="n"/>
      <c r="G961" s="30">
        <f>IF(A961="","",MONTH(A961))</f>
        <v/>
      </c>
    </row>
    <row r="962">
      <c r="A962" s="29" t="n"/>
      <c r="B962" s="30" t="n"/>
      <c r="C962" s="30" t="n"/>
      <c r="D962" s="30" t="n"/>
      <c r="E962" s="31" t="n"/>
      <c r="F962" s="30" t="n"/>
      <c r="G962" s="30">
        <f>IF(A962="","",MONTH(A962))</f>
        <v/>
      </c>
    </row>
    <row r="963">
      <c r="A963" s="29" t="n"/>
      <c r="B963" s="30" t="n"/>
      <c r="C963" s="30" t="n"/>
      <c r="D963" s="30" t="n"/>
      <c r="E963" s="31" t="n"/>
      <c r="F963" s="30" t="n"/>
      <c r="G963" s="30">
        <f>IF(A963="","",MONTH(A963))</f>
        <v/>
      </c>
    </row>
    <row r="964">
      <c r="A964" s="29" t="n"/>
      <c r="B964" s="30" t="n"/>
      <c r="C964" s="30" t="n"/>
      <c r="D964" s="30" t="n"/>
      <c r="E964" s="31" t="n"/>
      <c r="F964" s="30" t="n"/>
      <c r="G964" s="30">
        <f>IF(A964="","",MONTH(A964))</f>
        <v/>
      </c>
    </row>
    <row r="965">
      <c r="A965" s="29" t="n"/>
      <c r="B965" s="30" t="n"/>
      <c r="C965" s="30" t="n"/>
      <c r="D965" s="30" t="n"/>
      <c r="E965" s="31" t="n"/>
      <c r="F965" s="30" t="n"/>
      <c r="G965" s="30">
        <f>IF(A965="","",MONTH(A965))</f>
        <v/>
      </c>
    </row>
    <row r="966">
      <c r="A966" s="29" t="n"/>
      <c r="B966" s="30" t="n"/>
      <c r="C966" s="30" t="n"/>
      <c r="D966" s="30" t="n"/>
      <c r="E966" s="31" t="n"/>
      <c r="F966" s="30" t="n"/>
      <c r="G966" s="30">
        <f>IF(A966="","",MONTH(A966))</f>
        <v/>
      </c>
    </row>
    <row r="967">
      <c r="A967" s="29" t="n"/>
      <c r="B967" s="30" t="n"/>
      <c r="C967" s="30" t="n"/>
      <c r="D967" s="30" t="n"/>
      <c r="E967" s="31" t="n"/>
      <c r="F967" s="30" t="n"/>
      <c r="G967" s="30">
        <f>IF(A967="","",MONTH(A967))</f>
        <v/>
      </c>
    </row>
    <row r="968">
      <c r="A968" s="29" t="n"/>
      <c r="B968" s="30" t="n"/>
      <c r="C968" s="30" t="n"/>
      <c r="D968" s="30" t="n"/>
      <c r="E968" s="31" t="n"/>
      <c r="F968" s="30" t="n"/>
      <c r="G968" s="30">
        <f>IF(A968="","",MONTH(A968))</f>
        <v/>
      </c>
    </row>
    <row r="969">
      <c r="A969" s="29" t="n"/>
      <c r="B969" s="30" t="n"/>
      <c r="C969" s="30" t="n"/>
      <c r="D969" s="30" t="n"/>
      <c r="E969" s="31" t="n"/>
      <c r="F969" s="30" t="n"/>
      <c r="G969" s="30">
        <f>IF(A969="","",MONTH(A969))</f>
        <v/>
      </c>
    </row>
    <row r="970">
      <c r="A970" s="29" t="n"/>
      <c r="B970" s="30" t="n"/>
      <c r="C970" s="30" t="n"/>
      <c r="D970" s="30" t="n"/>
      <c r="E970" s="31" t="n"/>
      <c r="F970" s="30" t="n"/>
      <c r="G970" s="30">
        <f>IF(A970="","",MONTH(A970))</f>
        <v/>
      </c>
    </row>
    <row r="971">
      <c r="A971" s="29" t="n"/>
      <c r="B971" s="30" t="n"/>
      <c r="C971" s="30" t="n"/>
      <c r="D971" s="30" t="n"/>
      <c r="E971" s="31" t="n"/>
      <c r="F971" s="30" t="n"/>
      <c r="G971" s="30">
        <f>IF(A971="","",MONTH(A971))</f>
        <v/>
      </c>
    </row>
    <row r="972">
      <c r="A972" s="29" t="n"/>
      <c r="B972" s="30" t="n"/>
      <c r="C972" s="30" t="n"/>
      <c r="D972" s="30" t="n"/>
      <c r="E972" s="31" t="n"/>
      <c r="F972" s="30" t="n"/>
      <c r="G972" s="30">
        <f>IF(A972="","",MONTH(A972))</f>
        <v/>
      </c>
    </row>
    <row r="973">
      <c r="A973" s="29" t="n"/>
      <c r="B973" s="30" t="n"/>
      <c r="C973" s="30" t="n"/>
      <c r="D973" s="30" t="n"/>
      <c r="E973" s="31" t="n"/>
      <c r="F973" s="30" t="n"/>
      <c r="G973" s="30">
        <f>IF(A973="","",MONTH(A973))</f>
        <v/>
      </c>
    </row>
    <row r="974">
      <c r="A974" s="29" t="n"/>
      <c r="B974" s="30" t="n"/>
      <c r="C974" s="30" t="n"/>
      <c r="D974" s="30" t="n"/>
      <c r="E974" s="31" t="n"/>
      <c r="F974" s="30" t="n"/>
      <c r="G974" s="30">
        <f>IF(A974="","",MONTH(A974))</f>
        <v/>
      </c>
    </row>
    <row r="975">
      <c r="A975" s="29" t="n"/>
      <c r="B975" s="30" t="n"/>
      <c r="C975" s="30" t="n"/>
      <c r="D975" s="30" t="n"/>
      <c r="E975" s="31" t="n"/>
      <c r="F975" s="30" t="n"/>
      <c r="G975" s="30">
        <f>IF(A975="","",MONTH(A975))</f>
        <v/>
      </c>
    </row>
    <row r="976">
      <c r="A976" s="29" t="n"/>
      <c r="B976" s="30" t="n"/>
      <c r="C976" s="30" t="n"/>
      <c r="D976" s="30" t="n"/>
      <c r="E976" s="31" t="n"/>
      <c r="F976" s="30" t="n"/>
      <c r="G976" s="30">
        <f>IF(A976="","",MONTH(A976))</f>
        <v/>
      </c>
    </row>
    <row r="977">
      <c r="A977" s="29" t="n"/>
      <c r="B977" s="30" t="n"/>
      <c r="C977" s="30" t="n"/>
      <c r="D977" s="30" t="n"/>
      <c r="E977" s="31" t="n"/>
      <c r="F977" s="30" t="n"/>
      <c r="G977" s="30">
        <f>IF(A977="","",MONTH(A977))</f>
        <v/>
      </c>
    </row>
    <row r="978">
      <c r="A978" s="29" t="n"/>
      <c r="B978" s="30" t="n"/>
      <c r="C978" s="30" t="n"/>
      <c r="D978" s="30" t="n"/>
      <c r="E978" s="31" t="n"/>
      <c r="F978" s="30" t="n"/>
      <c r="G978" s="30">
        <f>IF(A978="","",MONTH(A978))</f>
        <v/>
      </c>
    </row>
    <row r="979">
      <c r="A979" s="29" t="n"/>
      <c r="B979" s="30" t="n"/>
      <c r="C979" s="30" t="n"/>
      <c r="D979" s="30" t="n"/>
      <c r="E979" s="31" t="n"/>
      <c r="F979" s="30" t="n"/>
      <c r="G979" s="30">
        <f>IF(A979="","",MONTH(A979))</f>
        <v/>
      </c>
    </row>
    <row r="980">
      <c r="A980" s="29" t="n"/>
      <c r="B980" s="30" t="n"/>
      <c r="C980" s="30" t="n"/>
      <c r="D980" s="30" t="n"/>
      <c r="E980" s="31" t="n"/>
      <c r="F980" s="30" t="n"/>
      <c r="G980" s="30">
        <f>IF(A980="","",MONTH(A980))</f>
        <v/>
      </c>
    </row>
    <row r="981">
      <c r="A981" s="29" t="n"/>
      <c r="B981" s="30" t="n"/>
      <c r="C981" s="30" t="n"/>
      <c r="D981" s="30" t="n"/>
      <c r="E981" s="31" t="n"/>
      <c r="F981" s="30" t="n"/>
      <c r="G981" s="30">
        <f>IF(A981="","",MONTH(A981))</f>
        <v/>
      </c>
    </row>
    <row r="982">
      <c r="A982" s="29" t="n"/>
      <c r="B982" s="30" t="n"/>
      <c r="C982" s="30" t="n"/>
      <c r="D982" s="30" t="n"/>
      <c r="E982" s="31" t="n"/>
      <c r="F982" s="30" t="n"/>
      <c r="G982" s="30">
        <f>IF(A982="","",MONTH(A982))</f>
        <v/>
      </c>
    </row>
    <row r="983">
      <c r="A983" s="29" t="n"/>
      <c r="B983" s="30" t="n"/>
      <c r="C983" s="30" t="n"/>
      <c r="D983" s="30" t="n"/>
      <c r="E983" s="31" t="n"/>
      <c r="F983" s="30" t="n"/>
      <c r="G983" s="30">
        <f>IF(A983="","",MONTH(A983))</f>
        <v/>
      </c>
    </row>
    <row r="984">
      <c r="A984" s="29" t="n"/>
      <c r="B984" s="30" t="n"/>
      <c r="C984" s="30" t="n"/>
      <c r="D984" s="30" t="n"/>
      <c r="E984" s="31" t="n"/>
      <c r="F984" s="30" t="n"/>
      <c r="G984" s="30">
        <f>IF(A984="","",MONTH(A984))</f>
        <v/>
      </c>
    </row>
    <row r="985">
      <c r="A985" s="29" t="n"/>
      <c r="B985" s="30" t="n"/>
      <c r="C985" s="30" t="n"/>
      <c r="D985" s="30" t="n"/>
      <c r="E985" s="31" t="n"/>
      <c r="F985" s="30" t="n"/>
      <c r="G985" s="30">
        <f>IF(A985="","",MONTH(A985))</f>
        <v/>
      </c>
    </row>
    <row r="986">
      <c r="A986" s="29" t="n"/>
      <c r="B986" s="30" t="n"/>
      <c r="C986" s="30" t="n"/>
      <c r="D986" s="30" t="n"/>
      <c r="E986" s="31" t="n"/>
      <c r="F986" s="30" t="n"/>
      <c r="G986" s="30">
        <f>IF(A986="","",MONTH(A986))</f>
        <v/>
      </c>
    </row>
    <row r="987">
      <c r="A987" s="29" t="n"/>
      <c r="B987" s="30" t="n"/>
      <c r="C987" s="30" t="n"/>
      <c r="D987" s="30" t="n"/>
      <c r="E987" s="31" t="n"/>
      <c r="F987" s="30" t="n"/>
      <c r="G987" s="30">
        <f>IF(A987="","",MONTH(A987))</f>
        <v/>
      </c>
    </row>
    <row r="988">
      <c r="A988" s="29" t="n"/>
      <c r="B988" s="30" t="n"/>
      <c r="C988" s="30" t="n"/>
      <c r="D988" s="30" t="n"/>
      <c r="E988" s="31" t="n"/>
      <c r="F988" s="30" t="n"/>
      <c r="G988" s="30">
        <f>IF(A988="","",MONTH(A988))</f>
        <v/>
      </c>
    </row>
    <row r="989">
      <c r="A989" s="29" t="n"/>
      <c r="B989" s="30" t="n"/>
      <c r="C989" s="30" t="n"/>
      <c r="D989" s="30" t="n"/>
      <c r="E989" s="31" t="n"/>
      <c r="F989" s="30" t="n"/>
      <c r="G989" s="30">
        <f>IF(A989="","",MONTH(A989))</f>
        <v/>
      </c>
    </row>
    <row r="990">
      <c r="A990" s="29" t="n"/>
      <c r="B990" s="30" t="n"/>
      <c r="C990" s="30" t="n"/>
      <c r="D990" s="30" t="n"/>
      <c r="E990" s="31" t="n"/>
      <c r="F990" s="30" t="n"/>
      <c r="G990" s="30">
        <f>IF(A990="","",MONTH(A990))</f>
        <v/>
      </c>
    </row>
    <row r="991">
      <c r="A991" s="29" t="n"/>
      <c r="B991" s="30" t="n"/>
      <c r="C991" s="30" t="n"/>
      <c r="D991" s="30" t="n"/>
      <c r="E991" s="31" t="n"/>
      <c r="F991" s="30" t="n"/>
      <c r="G991" s="30">
        <f>IF(A991="","",MONTH(A991))</f>
        <v/>
      </c>
    </row>
    <row r="992">
      <c r="A992" s="29" t="n"/>
      <c r="B992" s="30" t="n"/>
      <c r="C992" s="30" t="n"/>
      <c r="D992" s="30" t="n"/>
      <c r="E992" s="31" t="n"/>
      <c r="F992" s="30" t="n"/>
      <c r="G992" s="30">
        <f>IF(A992="","",MONTH(A992))</f>
        <v/>
      </c>
    </row>
    <row r="993">
      <c r="A993" s="29" t="n"/>
      <c r="B993" s="30" t="n"/>
      <c r="C993" s="30" t="n"/>
      <c r="D993" s="30" t="n"/>
      <c r="E993" s="31" t="n"/>
      <c r="F993" s="30" t="n"/>
      <c r="G993" s="30">
        <f>IF(A993="","",MONTH(A993))</f>
        <v/>
      </c>
    </row>
    <row r="994">
      <c r="A994" s="29" t="n"/>
      <c r="B994" s="30" t="n"/>
      <c r="C994" s="30" t="n"/>
      <c r="D994" s="30" t="n"/>
      <c r="E994" s="31" t="n"/>
      <c r="F994" s="30" t="n"/>
      <c r="G994" s="30">
        <f>IF(A994="","",MONTH(A994))</f>
        <v/>
      </c>
    </row>
    <row r="995">
      <c r="A995" s="29" t="n"/>
      <c r="B995" s="30" t="n"/>
      <c r="C995" s="30" t="n"/>
      <c r="D995" s="30" t="n"/>
      <c r="E995" s="31" t="n"/>
      <c r="F995" s="30" t="n"/>
      <c r="G995" s="30">
        <f>IF(A995="","",MONTH(A995))</f>
        <v/>
      </c>
    </row>
    <row r="996">
      <c r="A996" s="29" t="n"/>
      <c r="B996" s="30" t="n"/>
      <c r="C996" s="30" t="n"/>
      <c r="D996" s="30" t="n"/>
      <c r="E996" s="31" t="n"/>
      <c r="F996" s="30" t="n"/>
      <c r="G996" s="30">
        <f>IF(A996="","",MONTH(A996))</f>
        <v/>
      </c>
    </row>
    <row r="997">
      <c r="A997" s="29" t="n"/>
      <c r="B997" s="30" t="n"/>
      <c r="C997" s="30" t="n"/>
      <c r="D997" s="30" t="n"/>
      <c r="E997" s="31" t="n"/>
      <c r="F997" s="30" t="n"/>
      <c r="G997" s="30">
        <f>IF(A997="","",MONTH(A997))</f>
        <v/>
      </c>
    </row>
    <row r="998">
      <c r="A998" s="29" t="n"/>
      <c r="B998" s="30" t="n"/>
      <c r="C998" s="30" t="n"/>
      <c r="D998" s="30" t="n"/>
      <c r="E998" s="31" t="n"/>
      <c r="F998" s="30" t="n"/>
      <c r="G998" s="30">
        <f>IF(A998="","",MONTH(A998))</f>
        <v/>
      </c>
    </row>
    <row r="999">
      <c r="A999" s="29" t="n"/>
      <c r="B999" s="30" t="n"/>
      <c r="C999" s="30" t="n"/>
      <c r="D999" s="30" t="n"/>
      <c r="E999" s="31" t="n"/>
      <c r="F999" s="30" t="n"/>
      <c r="G999" s="30">
        <f>IF(A999="","",MONTH(A999))</f>
        <v/>
      </c>
    </row>
    <row r="1000">
      <c r="A1000" s="29" t="n"/>
      <c r="B1000" s="30" t="n"/>
      <c r="C1000" s="30" t="n"/>
      <c r="D1000" s="30" t="n"/>
      <c r="E1000" s="31" t="n"/>
      <c r="F1000" s="30" t="n"/>
      <c r="G1000" s="30">
        <f>IF(A1000="","",MONTH(A1000))</f>
        <v/>
      </c>
    </row>
  </sheetData>
  <mergeCells count="2">
    <mergeCell ref="A2:G2"/>
    <mergeCell ref="A1:G1"/>
  </mergeCells>
  <conditionalFormatting sqref="B5:B1000">
    <cfRule type="cellIs" priority="1" operator="equal" dxfId="0">
      <formula>"Receita"</formula>
    </cfRule>
    <cfRule type="cellIs" priority="2" operator="equal" dxfId="1">
      <formula>"Despesa"</formula>
    </cfRule>
    <cfRule type="cellIs" priority="3" operator="equal" dxfId="2">
      <formula>"Investimento"</formula>
    </cfRule>
  </conditionalFormatting>
  <dataValidations count="3">
    <dataValidation sqref="B5:B1000" showDropDown="0" showInputMessage="0" showErrorMessage="0" allowBlank="1" type="list">
      <formula1>=Config!$E$2:$E$4</formula1>
    </dataValidation>
    <dataValidation sqref="C5:C1000" showDropDown="0" showInputMessage="0" showErrorMessage="0" allowBlank="1" type="list">
      <formula1>=Config!$G$2:$G$20</formula1>
    </dataValidation>
    <dataValidation sqref="F5:F1000" showDropDown="0" showInputMessage="0" showErrorMessage="0" allowBlank="1" type="list">
      <formula1>=Config!$I$2:$I$8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/>
  </sheetPr>
  <dimension ref="A1:P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12" customWidth="1" min="16" max="16"/>
  </cols>
  <sheetData>
    <row r="1" ht="30" customHeight="1">
      <c r="A1" s="32" t="inlineStr">
        <is>
          <t>📅 ORÇAMENTO DOMÉSTICO — PLANEJADO × REALIZADO</t>
        </is>
      </c>
    </row>
    <row r="2">
      <c r="A2" s="26" t="inlineStr">
        <is>
          <t>Defina o orçamento mensal na coluna B. Os valores realizados vêm automaticamente da aba Lancamentos. Vermelho = estourou o orçamento do mês.</t>
        </is>
      </c>
    </row>
    <row r="3" hidden="1">
      <c r="C3" t="n">
        <v>1</v>
      </c>
      <c r="D3" t="n">
        <v>2</v>
      </c>
      <c r="E3" t="n">
        <v>3</v>
      </c>
      <c r="F3" t="n">
        <v>4</v>
      </c>
      <c r="G3" t="n">
        <v>5</v>
      </c>
      <c r="H3" t="n">
        <v>6</v>
      </c>
      <c r="I3" t="n">
        <v>7</v>
      </c>
      <c r="J3" t="n">
        <v>8</v>
      </c>
      <c r="K3" t="n">
        <v>9</v>
      </c>
      <c r="L3" t="n">
        <v>10</v>
      </c>
      <c r="M3" t="n">
        <v>11</v>
      </c>
      <c r="N3" t="n">
        <v>12</v>
      </c>
    </row>
    <row r="4" ht="26" customHeight="1">
      <c r="A4" s="33" t="inlineStr">
        <is>
          <t>DESPESAS — Categoria</t>
        </is>
      </c>
      <c r="B4" s="33" t="inlineStr">
        <is>
          <t>Orçado / Mês</t>
        </is>
      </c>
      <c r="C4" s="33" t="inlineStr">
        <is>
          <t>Jan</t>
        </is>
      </c>
      <c r="D4" s="33" t="inlineStr">
        <is>
          <t>Fev</t>
        </is>
      </c>
      <c r="E4" s="33" t="inlineStr">
        <is>
          <t>Mar</t>
        </is>
      </c>
      <c r="F4" s="33" t="inlineStr">
        <is>
          <t>Abr</t>
        </is>
      </c>
      <c r="G4" s="33" t="inlineStr">
        <is>
          <t>Mai</t>
        </is>
      </c>
      <c r="H4" s="33" t="inlineStr">
        <is>
          <t>Jun</t>
        </is>
      </c>
      <c r="I4" s="33" t="inlineStr">
        <is>
          <t>Jul</t>
        </is>
      </c>
      <c r="J4" s="33" t="inlineStr">
        <is>
          <t>Ago</t>
        </is>
      </c>
      <c r="K4" s="33" t="inlineStr">
        <is>
          <t>Set</t>
        </is>
      </c>
      <c r="L4" s="33" t="inlineStr">
        <is>
          <t>Out</t>
        </is>
      </c>
      <c r="M4" s="33" t="inlineStr">
        <is>
          <t>Nov</t>
        </is>
      </c>
      <c r="N4" s="33" t="inlineStr">
        <is>
          <t>Dez</t>
        </is>
      </c>
      <c r="O4" s="33" t="inlineStr">
        <is>
          <t>Total Ano</t>
        </is>
      </c>
      <c r="P4" s="33" t="inlineStr">
        <is>
          <t>Média / Mês</t>
        </is>
      </c>
    </row>
    <row r="5">
      <c r="A5" s="34" t="inlineStr">
        <is>
          <t>Moradia</t>
        </is>
      </c>
      <c r="B5" s="35" t="n">
        <v>2200</v>
      </c>
      <c r="C5" s="36">
        <f>SUMIFS(Lancamentos!$E:$E,Lancamentos!$B:$B,"Despesa",Lancamentos!$C:$C,$A5,Lancamentos!$G:$G,C$3)</f>
        <v/>
      </c>
      <c r="D5" s="36">
        <f>SUMIFS(Lancamentos!$E:$E,Lancamentos!$B:$B,"Despesa",Lancamentos!$C:$C,$A5,Lancamentos!$G:$G,D$3)</f>
        <v/>
      </c>
      <c r="E5" s="36">
        <f>SUMIFS(Lancamentos!$E:$E,Lancamentos!$B:$B,"Despesa",Lancamentos!$C:$C,$A5,Lancamentos!$G:$G,E$3)</f>
        <v/>
      </c>
      <c r="F5" s="36">
        <f>SUMIFS(Lancamentos!$E:$E,Lancamentos!$B:$B,"Despesa",Lancamentos!$C:$C,$A5,Lancamentos!$G:$G,F$3)</f>
        <v/>
      </c>
      <c r="G5" s="36">
        <f>SUMIFS(Lancamentos!$E:$E,Lancamentos!$B:$B,"Despesa",Lancamentos!$C:$C,$A5,Lancamentos!$G:$G,G$3)</f>
        <v/>
      </c>
      <c r="H5" s="36">
        <f>SUMIFS(Lancamentos!$E:$E,Lancamentos!$B:$B,"Despesa",Lancamentos!$C:$C,$A5,Lancamentos!$G:$G,H$3)</f>
        <v/>
      </c>
      <c r="I5" s="36">
        <f>SUMIFS(Lancamentos!$E:$E,Lancamentos!$B:$B,"Despesa",Lancamentos!$C:$C,$A5,Lancamentos!$G:$G,I$3)</f>
        <v/>
      </c>
      <c r="J5" s="36">
        <f>SUMIFS(Lancamentos!$E:$E,Lancamentos!$B:$B,"Despesa",Lancamentos!$C:$C,$A5,Lancamentos!$G:$G,J$3)</f>
        <v/>
      </c>
      <c r="K5" s="36">
        <f>SUMIFS(Lancamentos!$E:$E,Lancamentos!$B:$B,"Despesa",Lancamentos!$C:$C,$A5,Lancamentos!$G:$G,K$3)</f>
        <v/>
      </c>
      <c r="L5" s="36">
        <f>SUMIFS(Lancamentos!$E:$E,Lancamentos!$B:$B,"Despesa",Lancamentos!$C:$C,$A5,Lancamentos!$G:$G,L$3)</f>
        <v/>
      </c>
      <c r="M5" s="36">
        <f>SUMIFS(Lancamentos!$E:$E,Lancamentos!$B:$B,"Despesa",Lancamentos!$C:$C,$A5,Lancamentos!$G:$G,M$3)</f>
        <v/>
      </c>
      <c r="N5" s="36">
        <f>SUMIFS(Lancamentos!$E:$E,Lancamentos!$B:$B,"Despesa",Lancamentos!$C:$C,$A5,Lancamentos!$G:$G,N$3)</f>
        <v/>
      </c>
      <c r="O5" s="36">
        <f>SUM(C5:N5)</f>
        <v/>
      </c>
      <c r="P5" s="36">
        <f>AVERAGE(C5:N5)</f>
        <v/>
      </c>
    </row>
    <row r="6">
      <c r="A6" s="34" t="inlineStr">
        <is>
          <t>Alimentação</t>
        </is>
      </c>
      <c r="B6" s="35" t="n">
        <v>1400</v>
      </c>
      <c r="C6" s="36">
        <f>SUMIFS(Lancamentos!$E:$E,Lancamentos!$B:$B,"Despesa",Lancamentos!$C:$C,$A6,Lancamentos!$G:$G,C$3)</f>
        <v/>
      </c>
      <c r="D6" s="36">
        <f>SUMIFS(Lancamentos!$E:$E,Lancamentos!$B:$B,"Despesa",Lancamentos!$C:$C,$A6,Lancamentos!$G:$G,D$3)</f>
        <v/>
      </c>
      <c r="E6" s="36">
        <f>SUMIFS(Lancamentos!$E:$E,Lancamentos!$B:$B,"Despesa",Lancamentos!$C:$C,$A6,Lancamentos!$G:$G,E$3)</f>
        <v/>
      </c>
      <c r="F6" s="36">
        <f>SUMIFS(Lancamentos!$E:$E,Lancamentos!$B:$B,"Despesa",Lancamentos!$C:$C,$A6,Lancamentos!$G:$G,F$3)</f>
        <v/>
      </c>
      <c r="G6" s="36">
        <f>SUMIFS(Lancamentos!$E:$E,Lancamentos!$B:$B,"Despesa",Lancamentos!$C:$C,$A6,Lancamentos!$G:$G,G$3)</f>
        <v/>
      </c>
      <c r="H6" s="36">
        <f>SUMIFS(Lancamentos!$E:$E,Lancamentos!$B:$B,"Despesa",Lancamentos!$C:$C,$A6,Lancamentos!$G:$G,H$3)</f>
        <v/>
      </c>
      <c r="I6" s="36">
        <f>SUMIFS(Lancamentos!$E:$E,Lancamentos!$B:$B,"Despesa",Lancamentos!$C:$C,$A6,Lancamentos!$G:$G,I$3)</f>
        <v/>
      </c>
      <c r="J6" s="36">
        <f>SUMIFS(Lancamentos!$E:$E,Lancamentos!$B:$B,"Despesa",Lancamentos!$C:$C,$A6,Lancamentos!$G:$G,J$3)</f>
        <v/>
      </c>
      <c r="K6" s="36">
        <f>SUMIFS(Lancamentos!$E:$E,Lancamentos!$B:$B,"Despesa",Lancamentos!$C:$C,$A6,Lancamentos!$G:$G,K$3)</f>
        <v/>
      </c>
      <c r="L6" s="36">
        <f>SUMIFS(Lancamentos!$E:$E,Lancamentos!$B:$B,"Despesa",Lancamentos!$C:$C,$A6,Lancamentos!$G:$G,L$3)</f>
        <v/>
      </c>
      <c r="M6" s="36">
        <f>SUMIFS(Lancamentos!$E:$E,Lancamentos!$B:$B,"Despesa",Lancamentos!$C:$C,$A6,Lancamentos!$G:$G,M$3)</f>
        <v/>
      </c>
      <c r="N6" s="36">
        <f>SUMIFS(Lancamentos!$E:$E,Lancamentos!$B:$B,"Despesa",Lancamentos!$C:$C,$A6,Lancamentos!$G:$G,N$3)</f>
        <v/>
      </c>
      <c r="O6" s="36">
        <f>SUM(C6:N6)</f>
        <v/>
      </c>
      <c r="P6" s="36">
        <f>AVERAGE(C6:N6)</f>
        <v/>
      </c>
    </row>
    <row r="7">
      <c r="A7" s="34" t="inlineStr">
        <is>
          <t>Transporte</t>
        </is>
      </c>
      <c r="B7" s="35" t="n">
        <v>600</v>
      </c>
      <c r="C7" s="36">
        <f>SUMIFS(Lancamentos!$E:$E,Lancamentos!$B:$B,"Despesa",Lancamentos!$C:$C,$A7,Lancamentos!$G:$G,C$3)</f>
        <v/>
      </c>
      <c r="D7" s="36">
        <f>SUMIFS(Lancamentos!$E:$E,Lancamentos!$B:$B,"Despesa",Lancamentos!$C:$C,$A7,Lancamentos!$G:$G,D$3)</f>
        <v/>
      </c>
      <c r="E7" s="36">
        <f>SUMIFS(Lancamentos!$E:$E,Lancamentos!$B:$B,"Despesa",Lancamentos!$C:$C,$A7,Lancamentos!$G:$G,E$3)</f>
        <v/>
      </c>
      <c r="F7" s="36">
        <f>SUMIFS(Lancamentos!$E:$E,Lancamentos!$B:$B,"Despesa",Lancamentos!$C:$C,$A7,Lancamentos!$G:$G,F$3)</f>
        <v/>
      </c>
      <c r="G7" s="36">
        <f>SUMIFS(Lancamentos!$E:$E,Lancamentos!$B:$B,"Despesa",Lancamentos!$C:$C,$A7,Lancamentos!$G:$G,G$3)</f>
        <v/>
      </c>
      <c r="H7" s="36">
        <f>SUMIFS(Lancamentos!$E:$E,Lancamentos!$B:$B,"Despesa",Lancamentos!$C:$C,$A7,Lancamentos!$G:$G,H$3)</f>
        <v/>
      </c>
      <c r="I7" s="36">
        <f>SUMIFS(Lancamentos!$E:$E,Lancamentos!$B:$B,"Despesa",Lancamentos!$C:$C,$A7,Lancamentos!$G:$G,I$3)</f>
        <v/>
      </c>
      <c r="J7" s="36">
        <f>SUMIFS(Lancamentos!$E:$E,Lancamentos!$B:$B,"Despesa",Lancamentos!$C:$C,$A7,Lancamentos!$G:$G,J$3)</f>
        <v/>
      </c>
      <c r="K7" s="36">
        <f>SUMIFS(Lancamentos!$E:$E,Lancamentos!$B:$B,"Despesa",Lancamentos!$C:$C,$A7,Lancamentos!$G:$G,K$3)</f>
        <v/>
      </c>
      <c r="L7" s="36">
        <f>SUMIFS(Lancamentos!$E:$E,Lancamentos!$B:$B,"Despesa",Lancamentos!$C:$C,$A7,Lancamentos!$G:$G,L$3)</f>
        <v/>
      </c>
      <c r="M7" s="36">
        <f>SUMIFS(Lancamentos!$E:$E,Lancamentos!$B:$B,"Despesa",Lancamentos!$C:$C,$A7,Lancamentos!$G:$G,M$3)</f>
        <v/>
      </c>
      <c r="N7" s="36">
        <f>SUMIFS(Lancamentos!$E:$E,Lancamentos!$B:$B,"Despesa",Lancamentos!$C:$C,$A7,Lancamentos!$G:$G,N$3)</f>
        <v/>
      </c>
      <c r="O7" s="36">
        <f>SUM(C7:N7)</f>
        <v/>
      </c>
      <c r="P7" s="36">
        <f>AVERAGE(C7:N7)</f>
        <v/>
      </c>
    </row>
    <row r="8">
      <c r="A8" s="34" t="inlineStr">
        <is>
          <t>Saúde</t>
        </is>
      </c>
      <c r="B8" s="35" t="n">
        <v>600</v>
      </c>
      <c r="C8" s="36">
        <f>SUMIFS(Lancamentos!$E:$E,Lancamentos!$B:$B,"Despesa",Lancamentos!$C:$C,$A8,Lancamentos!$G:$G,C$3)</f>
        <v/>
      </c>
      <c r="D8" s="36">
        <f>SUMIFS(Lancamentos!$E:$E,Lancamentos!$B:$B,"Despesa",Lancamentos!$C:$C,$A8,Lancamentos!$G:$G,D$3)</f>
        <v/>
      </c>
      <c r="E8" s="36">
        <f>SUMIFS(Lancamentos!$E:$E,Lancamentos!$B:$B,"Despesa",Lancamentos!$C:$C,$A8,Lancamentos!$G:$G,E$3)</f>
        <v/>
      </c>
      <c r="F8" s="36">
        <f>SUMIFS(Lancamentos!$E:$E,Lancamentos!$B:$B,"Despesa",Lancamentos!$C:$C,$A8,Lancamentos!$G:$G,F$3)</f>
        <v/>
      </c>
      <c r="G8" s="36">
        <f>SUMIFS(Lancamentos!$E:$E,Lancamentos!$B:$B,"Despesa",Lancamentos!$C:$C,$A8,Lancamentos!$G:$G,G$3)</f>
        <v/>
      </c>
      <c r="H8" s="36">
        <f>SUMIFS(Lancamentos!$E:$E,Lancamentos!$B:$B,"Despesa",Lancamentos!$C:$C,$A8,Lancamentos!$G:$G,H$3)</f>
        <v/>
      </c>
      <c r="I8" s="36">
        <f>SUMIFS(Lancamentos!$E:$E,Lancamentos!$B:$B,"Despesa",Lancamentos!$C:$C,$A8,Lancamentos!$G:$G,I$3)</f>
        <v/>
      </c>
      <c r="J8" s="36">
        <f>SUMIFS(Lancamentos!$E:$E,Lancamentos!$B:$B,"Despesa",Lancamentos!$C:$C,$A8,Lancamentos!$G:$G,J$3)</f>
        <v/>
      </c>
      <c r="K8" s="36">
        <f>SUMIFS(Lancamentos!$E:$E,Lancamentos!$B:$B,"Despesa",Lancamentos!$C:$C,$A8,Lancamentos!$G:$G,K$3)</f>
        <v/>
      </c>
      <c r="L8" s="36">
        <f>SUMIFS(Lancamentos!$E:$E,Lancamentos!$B:$B,"Despesa",Lancamentos!$C:$C,$A8,Lancamentos!$G:$G,L$3)</f>
        <v/>
      </c>
      <c r="M8" s="36">
        <f>SUMIFS(Lancamentos!$E:$E,Lancamentos!$B:$B,"Despesa",Lancamentos!$C:$C,$A8,Lancamentos!$G:$G,M$3)</f>
        <v/>
      </c>
      <c r="N8" s="36">
        <f>SUMIFS(Lancamentos!$E:$E,Lancamentos!$B:$B,"Despesa",Lancamentos!$C:$C,$A8,Lancamentos!$G:$G,N$3)</f>
        <v/>
      </c>
      <c r="O8" s="36">
        <f>SUM(C8:N8)</f>
        <v/>
      </c>
      <c r="P8" s="36">
        <f>AVERAGE(C8:N8)</f>
        <v/>
      </c>
    </row>
    <row r="9">
      <c r="A9" s="34" t="inlineStr">
        <is>
          <t>Educação</t>
        </is>
      </c>
      <c r="B9" s="35" t="n">
        <v>300</v>
      </c>
      <c r="C9" s="36">
        <f>SUMIFS(Lancamentos!$E:$E,Lancamentos!$B:$B,"Despesa",Lancamentos!$C:$C,$A9,Lancamentos!$G:$G,C$3)</f>
        <v/>
      </c>
      <c r="D9" s="36">
        <f>SUMIFS(Lancamentos!$E:$E,Lancamentos!$B:$B,"Despesa",Lancamentos!$C:$C,$A9,Lancamentos!$G:$G,D$3)</f>
        <v/>
      </c>
      <c r="E9" s="36">
        <f>SUMIFS(Lancamentos!$E:$E,Lancamentos!$B:$B,"Despesa",Lancamentos!$C:$C,$A9,Lancamentos!$G:$G,E$3)</f>
        <v/>
      </c>
      <c r="F9" s="36">
        <f>SUMIFS(Lancamentos!$E:$E,Lancamentos!$B:$B,"Despesa",Lancamentos!$C:$C,$A9,Lancamentos!$G:$G,F$3)</f>
        <v/>
      </c>
      <c r="G9" s="36">
        <f>SUMIFS(Lancamentos!$E:$E,Lancamentos!$B:$B,"Despesa",Lancamentos!$C:$C,$A9,Lancamentos!$G:$G,G$3)</f>
        <v/>
      </c>
      <c r="H9" s="36">
        <f>SUMIFS(Lancamentos!$E:$E,Lancamentos!$B:$B,"Despesa",Lancamentos!$C:$C,$A9,Lancamentos!$G:$G,H$3)</f>
        <v/>
      </c>
      <c r="I9" s="36">
        <f>SUMIFS(Lancamentos!$E:$E,Lancamentos!$B:$B,"Despesa",Lancamentos!$C:$C,$A9,Lancamentos!$G:$G,I$3)</f>
        <v/>
      </c>
      <c r="J9" s="36">
        <f>SUMIFS(Lancamentos!$E:$E,Lancamentos!$B:$B,"Despesa",Lancamentos!$C:$C,$A9,Lancamentos!$G:$G,J$3)</f>
        <v/>
      </c>
      <c r="K9" s="36">
        <f>SUMIFS(Lancamentos!$E:$E,Lancamentos!$B:$B,"Despesa",Lancamentos!$C:$C,$A9,Lancamentos!$G:$G,K$3)</f>
        <v/>
      </c>
      <c r="L9" s="36">
        <f>SUMIFS(Lancamentos!$E:$E,Lancamentos!$B:$B,"Despesa",Lancamentos!$C:$C,$A9,Lancamentos!$G:$G,L$3)</f>
        <v/>
      </c>
      <c r="M9" s="36">
        <f>SUMIFS(Lancamentos!$E:$E,Lancamentos!$B:$B,"Despesa",Lancamentos!$C:$C,$A9,Lancamentos!$G:$G,M$3)</f>
        <v/>
      </c>
      <c r="N9" s="36">
        <f>SUMIFS(Lancamentos!$E:$E,Lancamentos!$B:$B,"Despesa",Lancamentos!$C:$C,$A9,Lancamentos!$G:$G,N$3)</f>
        <v/>
      </c>
      <c r="O9" s="36">
        <f>SUM(C9:N9)</f>
        <v/>
      </c>
      <c r="P9" s="36">
        <f>AVERAGE(C9:N9)</f>
        <v/>
      </c>
    </row>
    <row r="10">
      <c r="A10" s="34" t="inlineStr">
        <is>
          <t>Lazer</t>
        </is>
      </c>
      <c r="B10" s="35" t="n">
        <v>400</v>
      </c>
      <c r="C10" s="36">
        <f>SUMIFS(Lancamentos!$E:$E,Lancamentos!$B:$B,"Despesa",Lancamentos!$C:$C,$A10,Lancamentos!$G:$G,C$3)</f>
        <v/>
      </c>
      <c r="D10" s="36">
        <f>SUMIFS(Lancamentos!$E:$E,Lancamentos!$B:$B,"Despesa",Lancamentos!$C:$C,$A10,Lancamentos!$G:$G,D$3)</f>
        <v/>
      </c>
      <c r="E10" s="36">
        <f>SUMIFS(Lancamentos!$E:$E,Lancamentos!$B:$B,"Despesa",Lancamentos!$C:$C,$A10,Lancamentos!$G:$G,E$3)</f>
        <v/>
      </c>
      <c r="F10" s="36">
        <f>SUMIFS(Lancamentos!$E:$E,Lancamentos!$B:$B,"Despesa",Lancamentos!$C:$C,$A10,Lancamentos!$G:$G,F$3)</f>
        <v/>
      </c>
      <c r="G10" s="36">
        <f>SUMIFS(Lancamentos!$E:$E,Lancamentos!$B:$B,"Despesa",Lancamentos!$C:$C,$A10,Lancamentos!$G:$G,G$3)</f>
        <v/>
      </c>
      <c r="H10" s="36">
        <f>SUMIFS(Lancamentos!$E:$E,Lancamentos!$B:$B,"Despesa",Lancamentos!$C:$C,$A10,Lancamentos!$G:$G,H$3)</f>
        <v/>
      </c>
      <c r="I10" s="36">
        <f>SUMIFS(Lancamentos!$E:$E,Lancamentos!$B:$B,"Despesa",Lancamentos!$C:$C,$A10,Lancamentos!$G:$G,I$3)</f>
        <v/>
      </c>
      <c r="J10" s="36">
        <f>SUMIFS(Lancamentos!$E:$E,Lancamentos!$B:$B,"Despesa",Lancamentos!$C:$C,$A10,Lancamentos!$G:$G,J$3)</f>
        <v/>
      </c>
      <c r="K10" s="36">
        <f>SUMIFS(Lancamentos!$E:$E,Lancamentos!$B:$B,"Despesa",Lancamentos!$C:$C,$A10,Lancamentos!$G:$G,K$3)</f>
        <v/>
      </c>
      <c r="L10" s="36">
        <f>SUMIFS(Lancamentos!$E:$E,Lancamentos!$B:$B,"Despesa",Lancamentos!$C:$C,$A10,Lancamentos!$G:$G,L$3)</f>
        <v/>
      </c>
      <c r="M10" s="36">
        <f>SUMIFS(Lancamentos!$E:$E,Lancamentos!$B:$B,"Despesa",Lancamentos!$C:$C,$A10,Lancamentos!$G:$G,M$3)</f>
        <v/>
      </c>
      <c r="N10" s="36">
        <f>SUMIFS(Lancamentos!$E:$E,Lancamentos!$B:$B,"Despesa",Lancamentos!$C:$C,$A10,Lancamentos!$G:$G,N$3)</f>
        <v/>
      </c>
      <c r="O10" s="36">
        <f>SUM(C10:N10)</f>
        <v/>
      </c>
      <c r="P10" s="36">
        <f>AVERAGE(C10:N10)</f>
        <v/>
      </c>
    </row>
    <row r="11">
      <c r="A11" s="34" t="inlineStr">
        <is>
          <t>Vestuário</t>
        </is>
      </c>
      <c r="B11" s="35" t="n">
        <v>200</v>
      </c>
      <c r="C11" s="36">
        <f>SUMIFS(Lancamentos!$E:$E,Lancamentos!$B:$B,"Despesa",Lancamentos!$C:$C,$A11,Lancamentos!$G:$G,C$3)</f>
        <v/>
      </c>
      <c r="D11" s="36">
        <f>SUMIFS(Lancamentos!$E:$E,Lancamentos!$B:$B,"Despesa",Lancamentos!$C:$C,$A11,Lancamentos!$G:$G,D$3)</f>
        <v/>
      </c>
      <c r="E11" s="36">
        <f>SUMIFS(Lancamentos!$E:$E,Lancamentos!$B:$B,"Despesa",Lancamentos!$C:$C,$A11,Lancamentos!$G:$G,E$3)</f>
        <v/>
      </c>
      <c r="F11" s="36">
        <f>SUMIFS(Lancamentos!$E:$E,Lancamentos!$B:$B,"Despesa",Lancamentos!$C:$C,$A11,Lancamentos!$G:$G,F$3)</f>
        <v/>
      </c>
      <c r="G11" s="36">
        <f>SUMIFS(Lancamentos!$E:$E,Lancamentos!$B:$B,"Despesa",Lancamentos!$C:$C,$A11,Lancamentos!$G:$G,G$3)</f>
        <v/>
      </c>
      <c r="H11" s="36">
        <f>SUMIFS(Lancamentos!$E:$E,Lancamentos!$B:$B,"Despesa",Lancamentos!$C:$C,$A11,Lancamentos!$G:$G,H$3)</f>
        <v/>
      </c>
      <c r="I11" s="36">
        <f>SUMIFS(Lancamentos!$E:$E,Lancamentos!$B:$B,"Despesa",Lancamentos!$C:$C,$A11,Lancamentos!$G:$G,I$3)</f>
        <v/>
      </c>
      <c r="J11" s="36">
        <f>SUMIFS(Lancamentos!$E:$E,Lancamentos!$B:$B,"Despesa",Lancamentos!$C:$C,$A11,Lancamentos!$G:$G,J$3)</f>
        <v/>
      </c>
      <c r="K11" s="36">
        <f>SUMIFS(Lancamentos!$E:$E,Lancamentos!$B:$B,"Despesa",Lancamentos!$C:$C,$A11,Lancamentos!$G:$G,K$3)</f>
        <v/>
      </c>
      <c r="L11" s="36">
        <f>SUMIFS(Lancamentos!$E:$E,Lancamentos!$B:$B,"Despesa",Lancamentos!$C:$C,$A11,Lancamentos!$G:$G,L$3)</f>
        <v/>
      </c>
      <c r="M11" s="36">
        <f>SUMIFS(Lancamentos!$E:$E,Lancamentos!$B:$B,"Despesa",Lancamentos!$C:$C,$A11,Lancamentos!$G:$G,M$3)</f>
        <v/>
      </c>
      <c r="N11" s="36">
        <f>SUMIFS(Lancamentos!$E:$E,Lancamentos!$B:$B,"Despesa",Lancamentos!$C:$C,$A11,Lancamentos!$G:$G,N$3)</f>
        <v/>
      </c>
      <c r="O11" s="36">
        <f>SUM(C11:N11)</f>
        <v/>
      </c>
      <c r="P11" s="36">
        <f>AVERAGE(C11:N11)</f>
        <v/>
      </c>
    </row>
    <row r="12">
      <c r="A12" s="34" t="inlineStr">
        <is>
          <t>Assinaturas e Serviços</t>
        </is>
      </c>
      <c r="B12" s="35" t="n">
        <v>200</v>
      </c>
      <c r="C12" s="36">
        <f>SUMIFS(Lancamentos!$E:$E,Lancamentos!$B:$B,"Despesa",Lancamentos!$C:$C,$A12,Lancamentos!$G:$G,C$3)</f>
        <v/>
      </c>
      <c r="D12" s="36">
        <f>SUMIFS(Lancamentos!$E:$E,Lancamentos!$B:$B,"Despesa",Lancamentos!$C:$C,$A12,Lancamentos!$G:$G,D$3)</f>
        <v/>
      </c>
      <c r="E12" s="36">
        <f>SUMIFS(Lancamentos!$E:$E,Lancamentos!$B:$B,"Despesa",Lancamentos!$C:$C,$A12,Lancamentos!$G:$G,E$3)</f>
        <v/>
      </c>
      <c r="F12" s="36">
        <f>SUMIFS(Lancamentos!$E:$E,Lancamentos!$B:$B,"Despesa",Lancamentos!$C:$C,$A12,Lancamentos!$G:$G,F$3)</f>
        <v/>
      </c>
      <c r="G12" s="36">
        <f>SUMIFS(Lancamentos!$E:$E,Lancamentos!$B:$B,"Despesa",Lancamentos!$C:$C,$A12,Lancamentos!$G:$G,G$3)</f>
        <v/>
      </c>
      <c r="H12" s="36">
        <f>SUMIFS(Lancamentos!$E:$E,Lancamentos!$B:$B,"Despesa",Lancamentos!$C:$C,$A12,Lancamentos!$G:$G,H$3)</f>
        <v/>
      </c>
      <c r="I12" s="36">
        <f>SUMIFS(Lancamentos!$E:$E,Lancamentos!$B:$B,"Despesa",Lancamentos!$C:$C,$A12,Lancamentos!$G:$G,I$3)</f>
        <v/>
      </c>
      <c r="J12" s="36">
        <f>SUMIFS(Lancamentos!$E:$E,Lancamentos!$B:$B,"Despesa",Lancamentos!$C:$C,$A12,Lancamentos!$G:$G,J$3)</f>
        <v/>
      </c>
      <c r="K12" s="36">
        <f>SUMIFS(Lancamentos!$E:$E,Lancamentos!$B:$B,"Despesa",Lancamentos!$C:$C,$A12,Lancamentos!$G:$G,K$3)</f>
        <v/>
      </c>
      <c r="L12" s="36">
        <f>SUMIFS(Lancamentos!$E:$E,Lancamentos!$B:$B,"Despesa",Lancamentos!$C:$C,$A12,Lancamentos!$G:$G,L$3)</f>
        <v/>
      </c>
      <c r="M12" s="36">
        <f>SUMIFS(Lancamentos!$E:$E,Lancamentos!$B:$B,"Despesa",Lancamentos!$C:$C,$A12,Lancamentos!$G:$G,M$3)</f>
        <v/>
      </c>
      <c r="N12" s="36">
        <f>SUMIFS(Lancamentos!$E:$E,Lancamentos!$B:$B,"Despesa",Lancamentos!$C:$C,$A12,Lancamentos!$G:$G,N$3)</f>
        <v/>
      </c>
      <c r="O12" s="36">
        <f>SUM(C12:N12)</f>
        <v/>
      </c>
      <c r="P12" s="36">
        <f>AVERAGE(C12:N12)</f>
        <v/>
      </c>
    </row>
    <row r="13">
      <c r="A13" s="34" t="inlineStr">
        <is>
          <t>Dívidas e Empréstimos</t>
        </is>
      </c>
      <c r="B13" s="35" t="n">
        <v>0</v>
      </c>
      <c r="C13" s="36">
        <f>SUMIFS(Lancamentos!$E:$E,Lancamentos!$B:$B,"Despesa",Lancamentos!$C:$C,$A13,Lancamentos!$G:$G,C$3)</f>
        <v/>
      </c>
      <c r="D13" s="36">
        <f>SUMIFS(Lancamentos!$E:$E,Lancamentos!$B:$B,"Despesa",Lancamentos!$C:$C,$A13,Lancamentos!$G:$G,D$3)</f>
        <v/>
      </c>
      <c r="E13" s="36">
        <f>SUMIFS(Lancamentos!$E:$E,Lancamentos!$B:$B,"Despesa",Lancamentos!$C:$C,$A13,Lancamentos!$G:$G,E$3)</f>
        <v/>
      </c>
      <c r="F13" s="36">
        <f>SUMIFS(Lancamentos!$E:$E,Lancamentos!$B:$B,"Despesa",Lancamentos!$C:$C,$A13,Lancamentos!$G:$G,F$3)</f>
        <v/>
      </c>
      <c r="G13" s="36">
        <f>SUMIFS(Lancamentos!$E:$E,Lancamentos!$B:$B,"Despesa",Lancamentos!$C:$C,$A13,Lancamentos!$G:$G,G$3)</f>
        <v/>
      </c>
      <c r="H13" s="36">
        <f>SUMIFS(Lancamentos!$E:$E,Lancamentos!$B:$B,"Despesa",Lancamentos!$C:$C,$A13,Lancamentos!$G:$G,H$3)</f>
        <v/>
      </c>
      <c r="I13" s="36">
        <f>SUMIFS(Lancamentos!$E:$E,Lancamentos!$B:$B,"Despesa",Lancamentos!$C:$C,$A13,Lancamentos!$G:$G,I$3)</f>
        <v/>
      </c>
      <c r="J13" s="36">
        <f>SUMIFS(Lancamentos!$E:$E,Lancamentos!$B:$B,"Despesa",Lancamentos!$C:$C,$A13,Lancamentos!$G:$G,J$3)</f>
        <v/>
      </c>
      <c r="K13" s="36">
        <f>SUMIFS(Lancamentos!$E:$E,Lancamentos!$B:$B,"Despesa",Lancamentos!$C:$C,$A13,Lancamentos!$G:$G,K$3)</f>
        <v/>
      </c>
      <c r="L13" s="36">
        <f>SUMIFS(Lancamentos!$E:$E,Lancamentos!$B:$B,"Despesa",Lancamentos!$C:$C,$A13,Lancamentos!$G:$G,L$3)</f>
        <v/>
      </c>
      <c r="M13" s="36">
        <f>SUMIFS(Lancamentos!$E:$E,Lancamentos!$B:$B,"Despesa",Lancamentos!$C:$C,$A13,Lancamentos!$G:$G,M$3)</f>
        <v/>
      </c>
      <c r="N13" s="36">
        <f>SUMIFS(Lancamentos!$E:$E,Lancamentos!$B:$B,"Despesa",Lancamentos!$C:$C,$A13,Lancamentos!$G:$G,N$3)</f>
        <v/>
      </c>
      <c r="O13" s="36">
        <f>SUM(C13:N13)</f>
        <v/>
      </c>
      <c r="P13" s="36">
        <f>AVERAGE(C13:N13)</f>
        <v/>
      </c>
    </row>
    <row r="14">
      <c r="A14" s="34" t="inlineStr">
        <is>
          <t>Pets</t>
        </is>
      </c>
      <c r="B14" s="35" t="n">
        <v>150</v>
      </c>
      <c r="C14" s="36">
        <f>SUMIFS(Lancamentos!$E:$E,Lancamentos!$B:$B,"Despesa",Lancamentos!$C:$C,$A14,Lancamentos!$G:$G,C$3)</f>
        <v/>
      </c>
      <c r="D14" s="36">
        <f>SUMIFS(Lancamentos!$E:$E,Lancamentos!$B:$B,"Despesa",Lancamentos!$C:$C,$A14,Lancamentos!$G:$G,D$3)</f>
        <v/>
      </c>
      <c r="E14" s="36">
        <f>SUMIFS(Lancamentos!$E:$E,Lancamentos!$B:$B,"Despesa",Lancamentos!$C:$C,$A14,Lancamentos!$G:$G,E$3)</f>
        <v/>
      </c>
      <c r="F14" s="36">
        <f>SUMIFS(Lancamentos!$E:$E,Lancamentos!$B:$B,"Despesa",Lancamentos!$C:$C,$A14,Lancamentos!$G:$G,F$3)</f>
        <v/>
      </c>
      <c r="G14" s="36">
        <f>SUMIFS(Lancamentos!$E:$E,Lancamentos!$B:$B,"Despesa",Lancamentos!$C:$C,$A14,Lancamentos!$G:$G,G$3)</f>
        <v/>
      </c>
      <c r="H14" s="36">
        <f>SUMIFS(Lancamentos!$E:$E,Lancamentos!$B:$B,"Despesa",Lancamentos!$C:$C,$A14,Lancamentos!$G:$G,H$3)</f>
        <v/>
      </c>
      <c r="I14" s="36">
        <f>SUMIFS(Lancamentos!$E:$E,Lancamentos!$B:$B,"Despesa",Lancamentos!$C:$C,$A14,Lancamentos!$G:$G,I$3)</f>
        <v/>
      </c>
      <c r="J14" s="36">
        <f>SUMIFS(Lancamentos!$E:$E,Lancamentos!$B:$B,"Despesa",Lancamentos!$C:$C,$A14,Lancamentos!$G:$G,J$3)</f>
        <v/>
      </c>
      <c r="K14" s="36">
        <f>SUMIFS(Lancamentos!$E:$E,Lancamentos!$B:$B,"Despesa",Lancamentos!$C:$C,$A14,Lancamentos!$G:$G,K$3)</f>
        <v/>
      </c>
      <c r="L14" s="36">
        <f>SUMIFS(Lancamentos!$E:$E,Lancamentos!$B:$B,"Despesa",Lancamentos!$C:$C,$A14,Lancamentos!$G:$G,L$3)</f>
        <v/>
      </c>
      <c r="M14" s="36">
        <f>SUMIFS(Lancamentos!$E:$E,Lancamentos!$B:$B,"Despesa",Lancamentos!$C:$C,$A14,Lancamentos!$G:$G,M$3)</f>
        <v/>
      </c>
      <c r="N14" s="36">
        <f>SUMIFS(Lancamentos!$E:$E,Lancamentos!$B:$B,"Despesa",Lancamentos!$C:$C,$A14,Lancamentos!$G:$G,N$3)</f>
        <v/>
      </c>
      <c r="O14" s="36">
        <f>SUM(C14:N14)</f>
        <v/>
      </c>
      <c r="P14" s="36">
        <f>AVERAGE(C14:N14)</f>
        <v/>
      </c>
    </row>
    <row r="15">
      <c r="A15" s="34" t="inlineStr">
        <is>
          <t>Doações</t>
        </is>
      </c>
      <c r="B15" s="35" t="n">
        <v>100</v>
      </c>
      <c r="C15" s="36">
        <f>SUMIFS(Lancamentos!$E:$E,Lancamentos!$B:$B,"Despesa",Lancamentos!$C:$C,$A15,Lancamentos!$G:$G,C$3)</f>
        <v/>
      </c>
      <c r="D15" s="36">
        <f>SUMIFS(Lancamentos!$E:$E,Lancamentos!$B:$B,"Despesa",Lancamentos!$C:$C,$A15,Lancamentos!$G:$G,D$3)</f>
        <v/>
      </c>
      <c r="E15" s="36">
        <f>SUMIFS(Lancamentos!$E:$E,Lancamentos!$B:$B,"Despesa",Lancamentos!$C:$C,$A15,Lancamentos!$G:$G,E$3)</f>
        <v/>
      </c>
      <c r="F15" s="36">
        <f>SUMIFS(Lancamentos!$E:$E,Lancamentos!$B:$B,"Despesa",Lancamentos!$C:$C,$A15,Lancamentos!$G:$G,F$3)</f>
        <v/>
      </c>
      <c r="G15" s="36">
        <f>SUMIFS(Lancamentos!$E:$E,Lancamentos!$B:$B,"Despesa",Lancamentos!$C:$C,$A15,Lancamentos!$G:$G,G$3)</f>
        <v/>
      </c>
      <c r="H15" s="36">
        <f>SUMIFS(Lancamentos!$E:$E,Lancamentos!$B:$B,"Despesa",Lancamentos!$C:$C,$A15,Lancamentos!$G:$G,H$3)</f>
        <v/>
      </c>
      <c r="I15" s="36">
        <f>SUMIFS(Lancamentos!$E:$E,Lancamentos!$B:$B,"Despesa",Lancamentos!$C:$C,$A15,Lancamentos!$G:$G,I$3)</f>
        <v/>
      </c>
      <c r="J15" s="36">
        <f>SUMIFS(Lancamentos!$E:$E,Lancamentos!$B:$B,"Despesa",Lancamentos!$C:$C,$A15,Lancamentos!$G:$G,J$3)</f>
        <v/>
      </c>
      <c r="K15" s="36">
        <f>SUMIFS(Lancamentos!$E:$E,Lancamentos!$B:$B,"Despesa",Lancamentos!$C:$C,$A15,Lancamentos!$G:$G,K$3)</f>
        <v/>
      </c>
      <c r="L15" s="36">
        <f>SUMIFS(Lancamentos!$E:$E,Lancamentos!$B:$B,"Despesa",Lancamentos!$C:$C,$A15,Lancamentos!$G:$G,L$3)</f>
        <v/>
      </c>
      <c r="M15" s="36">
        <f>SUMIFS(Lancamentos!$E:$E,Lancamentos!$B:$B,"Despesa",Lancamentos!$C:$C,$A15,Lancamentos!$G:$G,M$3)</f>
        <v/>
      </c>
      <c r="N15" s="36">
        <f>SUMIFS(Lancamentos!$E:$E,Lancamentos!$B:$B,"Despesa",Lancamentos!$C:$C,$A15,Lancamentos!$G:$G,N$3)</f>
        <v/>
      </c>
      <c r="O15" s="36">
        <f>SUM(C15:N15)</f>
        <v/>
      </c>
      <c r="P15" s="36">
        <f>AVERAGE(C15:N15)</f>
        <v/>
      </c>
    </row>
    <row r="16">
      <c r="A16" s="34" t="inlineStr">
        <is>
          <t>Outros</t>
        </is>
      </c>
      <c r="B16" s="35" t="n">
        <v>200</v>
      </c>
      <c r="C16" s="36">
        <f>SUMIFS(Lancamentos!$E:$E,Lancamentos!$B:$B,"Despesa",Lancamentos!$C:$C,$A16,Lancamentos!$G:$G,C$3)</f>
        <v/>
      </c>
      <c r="D16" s="36">
        <f>SUMIFS(Lancamentos!$E:$E,Lancamentos!$B:$B,"Despesa",Lancamentos!$C:$C,$A16,Lancamentos!$G:$G,D$3)</f>
        <v/>
      </c>
      <c r="E16" s="36">
        <f>SUMIFS(Lancamentos!$E:$E,Lancamentos!$B:$B,"Despesa",Lancamentos!$C:$C,$A16,Lancamentos!$G:$G,E$3)</f>
        <v/>
      </c>
      <c r="F16" s="36">
        <f>SUMIFS(Lancamentos!$E:$E,Lancamentos!$B:$B,"Despesa",Lancamentos!$C:$C,$A16,Lancamentos!$G:$G,F$3)</f>
        <v/>
      </c>
      <c r="G16" s="36">
        <f>SUMIFS(Lancamentos!$E:$E,Lancamentos!$B:$B,"Despesa",Lancamentos!$C:$C,$A16,Lancamentos!$G:$G,G$3)</f>
        <v/>
      </c>
      <c r="H16" s="36">
        <f>SUMIFS(Lancamentos!$E:$E,Lancamentos!$B:$B,"Despesa",Lancamentos!$C:$C,$A16,Lancamentos!$G:$G,H$3)</f>
        <v/>
      </c>
      <c r="I16" s="36">
        <f>SUMIFS(Lancamentos!$E:$E,Lancamentos!$B:$B,"Despesa",Lancamentos!$C:$C,$A16,Lancamentos!$G:$G,I$3)</f>
        <v/>
      </c>
      <c r="J16" s="36">
        <f>SUMIFS(Lancamentos!$E:$E,Lancamentos!$B:$B,"Despesa",Lancamentos!$C:$C,$A16,Lancamentos!$G:$G,J$3)</f>
        <v/>
      </c>
      <c r="K16" s="36">
        <f>SUMIFS(Lancamentos!$E:$E,Lancamentos!$B:$B,"Despesa",Lancamentos!$C:$C,$A16,Lancamentos!$G:$G,K$3)</f>
        <v/>
      </c>
      <c r="L16" s="36">
        <f>SUMIFS(Lancamentos!$E:$E,Lancamentos!$B:$B,"Despesa",Lancamentos!$C:$C,$A16,Lancamentos!$G:$G,L$3)</f>
        <v/>
      </c>
      <c r="M16" s="36">
        <f>SUMIFS(Lancamentos!$E:$E,Lancamentos!$B:$B,"Despesa",Lancamentos!$C:$C,$A16,Lancamentos!$G:$G,M$3)</f>
        <v/>
      </c>
      <c r="N16" s="36">
        <f>SUMIFS(Lancamentos!$E:$E,Lancamentos!$B:$B,"Despesa",Lancamentos!$C:$C,$A16,Lancamentos!$G:$G,N$3)</f>
        <v/>
      </c>
      <c r="O16" s="36">
        <f>SUM(C16:N16)</f>
        <v/>
      </c>
      <c r="P16" s="36">
        <f>AVERAGE(C16:N16)</f>
        <v/>
      </c>
    </row>
    <row r="17">
      <c r="A17" s="37" t="inlineStr">
        <is>
          <t>TOTAL DE DESPESAS</t>
        </is>
      </c>
      <c r="B17" s="38">
        <f>SUM(B5:B16)</f>
        <v/>
      </c>
      <c r="C17" s="38">
        <f>SUM(C5:C16)</f>
        <v/>
      </c>
      <c r="D17" s="38">
        <f>SUM(D5:D16)</f>
        <v/>
      </c>
      <c r="E17" s="38">
        <f>SUM(E5:E16)</f>
        <v/>
      </c>
      <c r="F17" s="38">
        <f>SUM(F5:F16)</f>
        <v/>
      </c>
      <c r="G17" s="38">
        <f>SUM(G5:G16)</f>
        <v/>
      </c>
      <c r="H17" s="38">
        <f>SUM(H5:H16)</f>
        <v/>
      </c>
      <c r="I17" s="38">
        <f>SUM(I5:I16)</f>
        <v/>
      </c>
      <c r="J17" s="38">
        <f>SUM(J5:J16)</f>
        <v/>
      </c>
      <c r="K17" s="38">
        <f>SUM(K5:K16)</f>
        <v/>
      </c>
      <c r="L17" s="38">
        <f>SUM(L5:L16)</f>
        <v/>
      </c>
      <c r="M17" s="38">
        <f>SUM(M5:M16)</f>
        <v/>
      </c>
      <c r="N17" s="38">
        <f>SUM(N5:N16)</f>
        <v/>
      </c>
      <c r="O17" s="38">
        <f>SUM(C17:N17)</f>
        <v/>
      </c>
      <c r="P17" s="38">
        <f>AVERAGE(C17:N17)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</row>
    <row r="19">
      <c r="A19" s="39" t="inlineStr">
        <is>
          <t>RECEITAS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</row>
    <row r="20">
      <c r="A20" s="34" t="inlineStr">
        <is>
          <t>Salário</t>
        </is>
      </c>
      <c r="B20" s="30" t="n"/>
      <c r="C20" s="36">
        <f>SUMIFS(Lancamentos!$E:$E,Lancamentos!$B:$B,"Receita",Lancamentos!$C:$C,$A20,Lancamentos!$G:$G,C$3)</f>
        <v/>
      </c>
      <c r="D20" s="36">
        <f>SUMIFS(Lancamentos!$E:$E,Lancamentos!$B:$B,"Receita",Lancamentos!$C:$C,$A20,Lancamentos!$G:$G,D$3)</f>
        <v/>
      </c>
      <c r="E20" s="36">
        <f>SUMIFS(Lancamentos!$E:$E,Lancamentos!$B:$B,"Receita",Lancamentos!$C:$C,$A20,Lancamentos!$G:$G,E$3)</f>
        <v/>
      </c>
      <c r="F20" s="36">
        <f>SUMIFS(Lancamentos!$E:$E,Lancamentos!$B:$B,"Receita",Lancamentos!$C:$C,$A20,Lancamentos!$G:$G,F$3)</f>
        <v/>
      </c>
      <c r="G20" s="36">
        <f>SUMIFS(Lancamentos!$E:$E,Lancamentos!$B:$B,"Receita",Lancamentos!$C:$C,$A20,Lancamentos!$G:$G,G$3)</f>
        <v/>
      </c>
      <c r="H20" s="36">
        <f>SUMIFS(Lancamentos!$E:$E,Lancamentos!$B:$B,"Receita",Lancamentos!$C:$C,$A20,Lancamentos!$G:$G,H$3)</f>
        <v/>
      </c>
      <c r="I20" s="36">
        <f>SUMIFS(Lancamentos!$E:$E,Lancamentos!$B:$B,"Receita",Lancamentos!$C:$C,$A20,Lancamentos!$G:$G,I$3)</f>
        <v/>
      </c>
      <c r="J20" s="36">
        <f>SUMIFS(Lancamentos!$E:$E,Lancamentos!$B:$B,"Receita",Lancamentos!$C:$C,$A20,Lancamentos!$G:$G,J$3)</f>
        <v/>
      </c>
      <c r="K20" s="36">
        <f>SUMIFS(Lancamentos!$E:$E,Lancamentos!$B:$B,"Receita",Lancamentos!$C:$C,$A20,Lancamentos!$G:$G,K$3)</f>
        <v/>
      </c>
      <c r="L20" s="36">
        <f>SUMIFS(Lancamentos!$E:$E,Lancamentos!$B:$B,"Receita",Lancamentos!$C:$C,$A20,Lancamentos!$G:$G,L$3)</f>
        <v/>
      </c>
      <c r="M20" s="36">
        <f>SUMIFS(Lancamentos!$E:$E,Lancamentos!$B:$B,"Receita",Lancamentos!$C:$C,$A20,Lancamentos!$G:$G,M$3)</f>
        <v/>
      </c>
      <c r="N20" s="36">
        <f>SUMIFS(Lancamentos!$E:$E,Lancamentos!$B:$B,"Receita",Lancamentos!$C:$C,$A20,Lancamentos!$G:$G,N$3)</f>
        <v/>
      </c>
      <c r="O20" s="36">
        <f>SUM(C20:N20)</f>
        <v/>
      </c>
      <c r="P20" s="36">
        <f>AVERAGE(C20:N20)</f>
        <v/>
      </c>
    </row>
    <row r="21">
      <c r="A21" s="34" t="inlineStr">
        <is>
          <t>Freelance / Renda Extra</t>
        </is>
      </c>
      <c r="B21" s="30" t="n"/>
      <c r="C21" s="36">
        <f>SUMIFS(Lancamentos!$E:$E,Lancamentos!$B:$B,"Receita",Lancamentos!$C:$C,$A21,Lancamentos!$G:$G,C$3)</f>
        <v/>
      </c>
      <c r="D21" s="36">
        <f>SUMIFS(Lancamentos!$E:$E,Lancamentos!$B:$B,"Receita",Lancamentos!$C:$C,$A21,Lancamentos!$G:$G,D$3)</f>
        <v/>
      </c>
      <c r="E21" s="36">
        <f>SUMIFS(Lancamentos!$E:$E,Lancamentos!$B:$B,"Receita",Lancamentos!$C:$C,$A21,Lancamentos!$G:$G,E$3)</f>
        <v/>
      </c>
      <c r="F21" s="36">
        <f>SUMIFS(Lancamentos!$E:$E,Lancamentos!$B:$B,"Receita",Lancamentos!$C:$C,$A21,Lancamentos!$G:$G,F$3)</f>
        <v/>
      </c>
      <c r="G21" s="36">
        <f>SUMIFS(Lancamentos!$E:$E,Lancamentos!$B:$B,"Receita",Lancamentos!$C:$C,$A21,Lancamentos!$G:$G,G$3)</f>
        <v/>
      </c>
      <c r="H21" s="36">
        <f>SUMIFS(Lancamentos!$E:$E,Lancamentos!$B:$B,"Receita",Lancamentos!$C:$C,$A21,Lancamentos!$G:$G,H$3)</f>
        <v/>
      </c>
      <c r="I21" s="36">
        <f>SUMIFS(Lancamentos!$E:$E,Lancamentos!$B:$B,"Receita",Lancamentos!$C:$C,$A21,Lancamentos!$G:$G,I$3)</f>
        <v/>
      </c>
      <c r="J21" s="36">
        <f>SUMIFS(Lancamentos!$E:$E,Lancamentos!$B:$B,"Receita",Lancamentos!$C:$C,$A21,Lancamentos!$G:$G,J$3)</f>
        <v/>
      </c>
      <c r="K21" s="36">
        <f>SUMIFS(Lancamentos!$E:$E,Lancamentos!$B:$B,"Receita",Lancamentos!$C:$C,$A21,Lancamentos!$G:$G,K$3)</f>
        <v/>
      </c>
      <c r="L21" s="36">
        <f>SUMIFS(Lancamentos!$E:$E,Lancamentos!$B:$B,"Receita",Lancamentos!$C:$C,$A21,Lancamentos!$G:$G,L$3)</f>
        <v/>
      </c>
      <c r="M21" s="36">
        <f>SUMIFS(Lancamentos!$E:$E,Lancamentos!$B:$B,"Receita",Lancamentos!$C:$C,$A21,Lancamentos!$G:$G,M$3)</f>
        <v/>
      </c>
      <c r="N21" s="36">
        <f>SUMIFS(Lancamentos!$E:$E,Lancamentos!$B:$B,"Receita",Lancamentos!$C:$C,$A21,Lancamentos!$G:$G,N$3)</f>
        <v/>
      </c>
      <c r="O21" s="36">
        <f>SUM(C21:N21)</f>
        <v/>
      </c>
      <c r="P21" s="36">
        <f>AVERAGE(C21:N21)</f>
        <v/>
      </c>
    </row>
    <row r="22">
      <c r="A22" s="34" t="inlineStr">
        <is>
          <t>Dividendos e Proventos</t>
        </is>
      </c>
      <c r="B22" s="30" t="n"/>
      <c r="C22" s="36">
        <f>SUMIFS(Lancamentos!$E:$E,Lancamentos!$B:$B,"Receita",Lancamentos!$C:$C,$A22,Lancamentos!$G:$G,C$3)</f>
        <v/>
      </c>
      <c r="D22" s="36">
        <f>SUMIFS(Lancamentos!$E:$E,Lancamentos!$B:$B,"Receita",Lancamentos!$C:$C,$A22,Lancamentos!$G:$G,D$3)</f>
        <v/>
      </c>
      <c r="E22" s="36">
        <f>SUMIFS(Lancamentos!$E:$E,Lancamentos!$B:$B,"Receita",Lancamentos!$C:$C,$A22,Lancamentos!$G:$G,E$3)</f>
        <v/>
      </c>
      <c r="F22" s="36">
        <f>SUMIFS(Lancamentos!$E:$E,Lancamentos!$B:$B,"Receita",Lancamentos!$C:$C,$A22,Lancamentos!$G:$G,F$3)</f>
        <v/>
      </c>
      <c r="G22" s="36">
        <f>SUMIFS(Lancamentos!$E:$E,Lancamentos!$B:$B,"Receita",Lancamentos!$C:$C,$A22,Lancamentos!$G:$G,G$3)</f>
        <v/>
      </c>
      <c r="H22" s="36">
        <f>SUMIFS(Lancamentos!$E:$E,Lancamentos!$B:$B,"Receita",Lancamentos!$C:$C,$A22,Lancamentos!$G:$G,H$3)</f>
        <v/>
      </c>
      <c r="I22" s="36">
        <f>SUMIFS(Lancamentos!$E:$E,Lancamentos!$B:$B,"Receita",Lancamentos!$C:$C,$A22,Lancamentos!$G:$G,I$3)</f>
        <v/>
      </c>
      <c r="J22" s="36">
        <f>SUMIFS(Lancamentos!$E:$E,Lancamentos!$B:$B,"Receita",Lancamentos!$C:$C,$A22,Lancamentos!$G:$G,J$3)</f>
        <v/>
      </c>
      <c r="K22" s="36">
        <f>SUMIFS(Lancamentos!$E:$E,Lancamentos!$B:$B,"Receita",Lancamentos!$C:$C,$A22,Lancamentos!$G:$G,K$3)</f>
        <v/>
      </c>
      <c r="L22" s="36">
        <f>SUMIFS(Lancamentos!$E:$E,Lancamentos!$B:$B,"Receita",Lancamentos!$C:$C,$A22,Lancamentos!$G:$G,L$3)</f>
        <v/>
      </c>
      <c r="M22" s="36">
        <f>SUMIFS(Lancamentos!$E:$E,Lancamentos!$B:$B,"Receita",Lancamentos!$C:$C,$A22,Lancamentos!$G:$G,M$3)</f>
        <v/>
      </c>
      <c r="N22" s="36">
        <f>SUMIFS(Lancamentos!$E:$E,Lancamentos!$B:$B,"Receita",Lancamentos!$C:$C,$A22,Lancamentos!$G:$G,N$3)</f>
        <v/>
      </c>
      <c r="O22" s="36">
        <f>SUM(C22:N22)</f>
        <v/>
      </c>
      <c r="P22" s="36">
        <f>AVERAGE(C22:N22)</f>
        <v/>
      </c>
    </row>
    <row r="23">
      <c r="A23" s="34" t="inlineStr">
        <is>
          <t>Aluguéis</t>
        </is>
      </c>
      <c r="B23" s="30" t="n"/>
      <c r="C23" s="36">
        <f>SUMIFS(Lancamentos!$E:$E,Lancamentos!$B:$B,"Receita",Lancamentos!$C:$C,$A23,Lancamentos!$G:$G,C$3)</f>
        <v/>
      </c>
      <c r="D23" s="36">
        <f>SUMIFS(Lancamentos!$E:$E,Lancamentos!$B:$B,"Receita",Lancamentos!$C:$C,$A23,Lancamentos!$G:$G,D$3)</f>
        <v/>
      </c>
      <c r="E23" s="36">
        <f>SUMIFS(Lancamentos!$E:$E,Lancamentos!$B:$B,"Receita",Lancamentos!$C:$C,$A23,Lancamentos!$G:$G,E$3)</f>
        <v/>
      </c>
      <c r="F23" s="36">
        <f>SUMIFS(Lancamentos!$E:$E,Lancamentos!$B:$B,"Receita",Lancamentos!$C:$C,$A23,Lancamentos!$G:$G,F$3)</f>
        <v/>
      </c>
      <c r="G23" s="36">
        <f>SUMIFS(Lancamentos!$E:$E,Lancamentos!$B:$B,"Receita",Lancamentos!$C:$C,$A23,Lancamentos!$G:$G,G$3)</f>
        <v/>
      </c>
      <c r="H23" s="36">
        <f>SUMIFS(Lancamentos!$E:$E,Lancamentos!$B:$B,"Receita",Lancamentos!$C:$C,$A23,Lancamentos!$G:$G,H$3)</f>
        <v/>
      </c>
      <c r="I23" s="36">
        <f>SUMIFS(Lancamentos!$E:$E,Lancamentos!$B:$B,"Receita",Lancamentos!$C:$C,$A23,Lancamentos!$G:$G,I$3)</f>
        <v/>
      </c>
      <c r="J23" s="36">
        <f>SUMIFS(Lancamentos!$E:$E,Lancamentos!$B:$B,"Receita",Lancamentos!$C:$C,$A23,Lancamentos!$G:$G,J$3)</f>
        <v/>
      </c>
      <c r="K23" s="36">
        <f>SUMIFS(Lancamentos!$E:$E,Lancamentos!$B:$B,"Receita",Lancamentos!$C:$C,$A23,Lancamentos!$G:$G,K$3)</f>
        <v/>
      </c>
      <c r="L23" s="36">
        <f>SUMIFS(Lancamentos!$E:$E,Lancamentos!$B:$B,"Receita",Lancamentos!$C:$C,$A23,Lancamentos!$G:$G,L$3)</f>
        <v/>
      </c>
      <c r="M23" s="36">
        <f>SUMIFS(Lancamentos!$E:$E,Lancamentos!$B:$B,"Receita",Lancamentos!$C:$C,$A23,Lancamentos!$G:$G,M$3)</f>
        <v/>
      </c>
      <c r="N23" s="36">
        <f>SUMIFS(Lancamentos!$E:$E,Lancamentos!$B:$B,"Receita",Lancamentos!$C:$C,$A23,Lancamentos!$G:$G,N$3)</f>
        <v/>
      </c>
      <c r="O23" s="36">
        <f>SUM(C23:N23)</f>
        <v/>
      </c>
      <c r="P23" s="36">
        <f>AVERAGE(C23:N23)</f>
        <v/>
      </c>
    </row>
    <row r="24">
      <c r="A24" s="34" t="inlineStr">
        <is>
          <t>Reembolsos</t>
        </is>
      </c>
      <c r="B24" s="30" t="n"/>
      <c r="C24" s="36">
        <f>SUMIFS(Lancamentos!$E:$E,Lancamentos!$B:$B,"Receita",Lancamentos!$C:$C,$A24,Lancamentos!$G:$G,C$3)</f>
        <v/>
      </c>
      <c r="D24" s="36">
        <f>SUMIFS(Lancamentos!$E:$E,Lancamentos!$B:$B,"Receita",Lancamentos!$C:$C,$A24,Lancamentos!$G:$G,D$3)</f>
        <v/>
      </c>
      <c r="E24" s="36">
        <f>SUMIFS(Lancamentos!$E:$E,Lancamentos!$B:$B,"Receita",Lancamentos!$C:$C,$A24,Lancamentos!$G:$G,E$3)</f>
        <v/>
      </c>
      <c r="F24" s="36">
        <f>SUMIFS(Lancamentos!$E:$E,Lancamentos!$B:$B,"Receita",Lancamentos!$C:$C,$A24,Lancamentos!$G:$G,F$3)</f>
        <v/>
      </c>
      <c r="G24" s="36">
        <f>SUMIFS(Lancamentos!$E:$E,Lancamentos!$B:$B,"Receita",Lancamentos!$C:$C,$A24,Lancamentos!$G:$G,G$3)</f>
        <v/>
      </c>
      <c r="H24" s="36">
        <f>SUMIFS(Lancamentos!$E:$E,Lancamentos!$B:$B,"Receita",Lancamentos!$C:$C,$A24,Lancamentos!$G:$G,H$3)</f>
        <v/>
      </c>
      <c r="I24" s="36">
        <f>SUMIFS(Lancamentos!$E:$E,Lancamentos!$B:$B,"Receita",Lancamentos!$C:$C,$A24,Lancamentos!$G:$G,I$3)</f>
        <v/>
      </c>
      <c r="J24" s="36">
        <f>SUMIFS(Lancamentos!$E:$E,Lancamentos!$B:$B,"Receita",Lancamentos!$C:$C,$A24,Lancamentos!$G:$G,J$3)</f>
        <v/>
      </c>
      <c r="K24" s="36">
        <f>SUMIFS(Lancamentos!$E:$E,Lancamentos!$B:$B,"Receita",Lancamentos!$C:$C,$A24,Lancamentos!$G:$G,K$3)</f>
        <v/>
      </c>
      <c r="L24" s="36">
        <f>SUMIFS(Lancamentos!$E:$E,Lancamentos!$B:$B,"Receita",Lancamentos!$C:$C,$A24,Lancamentos!$G:$G,L$3)</f>
        <v/>
      </c>
      <c r="M24" s="36">
        <f>SUMIFS(Lancamentos!$E:$E,Lancamentos!$B:$B,"Receita",Lancamentos!$C:$C,$A24,Lancamentos!$G:$G,M$3)</f>
        <v/>
      </c>
      <c r="N24" s="36">
        <f>SUMIFS(Lancamentos!$E:$E,Lancamentos!$B:$B,"Receita",Lancamentos!$C:$C,$A24,Lancamentos!$G:$G,N$3)</f>
        <v/>
      </c>
      <c r="O24" s="36">
        <f>SUM(C24:N24)</f>
        <v/>
      </c>
      <c r="P24" s="36">
        <f>AVERAGE(C24:N24)</f>
        <v/>
      </c>
    </row>
    <row r="25">
      <c r="A25" s="34" t="inlineStr">
        <is>
          <t>Outras Receitas</t>
        </is>
      </c>
      <c r="B25" s="30" t="n"/>
      <c r="C25" s="36">
        <f>SUMIFS(Lancamentos!$E:$E,Lancamentos!$B:$B,"Receita",Lancamentos!$C:$C,$A25,Lancamentos!$G:$G,C$3)</f>
        <v/>
      </c>
      <c r="D25" s="36">
        <f>SUMIFS(Lancamentos!$E:$E,Lancamentos!$B:$B,"Receita",Lancamentos!$C:$C,$A25,Lancamentos!$G:$G,D$3)</f>
        <v/>
      </c>
      <c r="E25" s="36">
        <f>SUMIFS(Lancamentos!$E:$E,Lancamentos!$B:$B,"Receita",Lancamentos!$C:$C,$A25,Lancamentos!$G:$G,E$3)</f>
        <v/>
      </c>
      <c r="F25" s="36">
        <f>SUMIFS(Lancamentos!$E:$E,Lancamentos!$B:$B,"Receita",Lancamentos!$C:$C,$A25,Lancamentos!$G:$G,F$3)</f>
        <v/>
      </c>
      <c r="G25" s="36">
        <f>SUMIFS(Lancamentos!$E:$E,Lancamentos!$B:$B,"Receita",Lancamentos!$C:$C,$A25,Lancamentos!$G:$G,G$3)</f>
        <v/>
      </c>
      <c r="H25" s="36">
        <f>SUMIFS(Lancamentos!$E:$E,Lancamentos!$B:$B,"Receita",Lancamentos!$C:$C,$A25,Lancamentos!$G:$G,H$3)</f>
        <v/>
      </c>
      <c r="I25" s="36">
        <f>SUMIFS(Lancamentos!$E:$E,Lancamentos!$B:$B,"Receita",Lancamentos!$C:$C,$A25,Lancamentos!$G:$G,I$3)</f>
        <v/>
      </c>
      <c r="J25" s="36">
        <f>SUMIFS(Lancamentos!$E:$E,Lancamentos!$B:$B,"Receita",Lancamentos!$C:$C,$A25,Lancamentos!$G:$G,J$3)</f>
        <v/>
      </c>
      <c r="K25" s="36">
        <f>SUMIFS(Lancamentos!$E:$E,Lancamentos!$B:$B,"Receita",Lancamentos!$C:$C,$A25,Lancamentos!$G:$G,K$3)</f>
        <v/>
      </c>
      <c r="L25" s="36">
        <f>SUMIFS(Lancamentos!$E:$E,Lancamentos!$B:$B,"Receita",Lancamentos!$C:$C,$A25,Lancamentos!$G:$G,L$3)</f>
        <v/>
      </c>
      <c r="M25" s="36">
        <f>SUMIFS(Lancamentos!$E:$E,Lancamentos!$B:$B,"Receita",Lancamentos!$C:$C,$A25,Lancamentos!$G:$G,M$3)</f>
        <v/>
      </c>
      <c r="N25" s="36">
        <f>SUMIFS(Lancamentos!$E:$E,Lancamentos!$B:$B,"Receita",Lancamentos!$C:$C,$A25,Lancamentos!$G:$G,N$3)</f>
        <v/>
      </c>
      <c r="O25" s="36">
        <f>SUM(C25:N25)</f>
        <v/>
      </c>
      <c r="P25" s="36">
        <f>AVERAGE(C25:N25)</f>
        <v/>
      </c>
    </row>
    <row r="26">
      <c r="A26" s="40" t="inlineStr">
        <is>
          <t>TOTAL DE RECEITAS</t>
        </is>
      </c>
      <c r="B26" s="40" t="n"/>
      <c r="C26" s="41">
        <f>SUM(C20:C25)</f>
        <v/>
      </c>
      <c r="D26" s="41">
        <f>SUM(D20:D25)</f>
        <v/>
      </c>
      <c r="E26" s="41">
        <f>SUM(E20:E25)</f>
        <v/>
      </c>
      <c r="F26" s="41">
        <f>SUM(F20:F25)</f>
        <v/>
      </c>
      <c r="G26" s="41">
        <f>SUM(G20:G25)</f>
        <v/>
      </c>
      <c r="H26" s="41">
        <f>SUM(H20:H25)</f>
        <v/>
      </c>
      <c r="I26" s="41">
        <f>SUM(I20:I25)</f>
        <v/>
      </c>
      <c r="J26" s="41">
        <f>SUM(J20:J25)</f>
        <v/>
      </c>
      <c r="K26" s="41">
        <f>SUM(K20:K25)</f>
        <v/>
      </c>
      <c r="L26" s="41">
        <f>SUM(L20:L25)</f>
        <v/>
      </c>
      <c r="M26" s="41">
        <f>SUM(M20:M25)</f>
        <v/>
      </c>
      <c r="N26" s="41">
        <f>SUM(N20:N25)</f>
        <v/>
      </c>
      <c r="O26" s="41">
        <f>SUM(C26:N26)</f>
        <v/>
      </c>
      <c r="P26" s="41">
        <f>AVERAGE(C26:N26)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</row>
    <row r="28">
      <c r="A28" s="42" t="inlineStr">
        <is>
          <t>APORTES EM INVESTIMENTOS</t>
        </is>
      </c>
      <c r="B28" s="42" t="n"/>
      <c r="C28" s="43">
        <f>SUMIFS(Lancamentos!$E:$E,Lancamentos!$B:$B,"Investimento",Lancamentos!$G:$G,C$3)</f>
        <v/>
      </c>
      <c r="D28" s="43">
        <f>SUMIFS(Lancamentos!$E:$E,Lancamentos!$B:$B,"Investimento",Lancamentos!$G:$G,D$3)</f>
        <v/>
      </c>
      <c r="E28" s="43">
        <f>SUMIFS(Lancamentos!$E:$E,Lancamentos!$B:$B,"Investimento",Lancamentos!$G:$G,E$3)</f>
        <v/>
      </c>
      <c r="F28" s="43">
        <f>SUMIFS(Lancamentos!$E:$E,Lancamentos!$B:$B,"Investimento",Lancamentos!$G:$G,F$3)</f>
        <v/>
      </c>
      <c r="G28" s="43">
        <f>SUMIFS(Lancamentos!$E:$E,Lancamentos!$B:$B,"Investimento",Lancamentos!$G:$G,G$3)</f>
        <v/>
      </c>
      <c r="H28" s="43">
        <f>SUMIFS(Lancamentos!$E:$E,Lancamentos!$B:$B,"Investimento",Lancamentos!$G:$G,H$3)</f>
        <v/>
      </c>
      <c r="I28" s="43">
        <f>SUMIFS(Lancamentos!$E:$E,Lancamentos!$B:$B,"Investimento",Lancamentos!$G:$G,I$3)</f>
        <v/>
      </c>
      <c r="J28" s="43">
        <f>SUMIFS(Lancamentos!$E:$E,Lancamentos!$B:$B,"Investimento",Lancamentos!$G:$G,J$3)</f>
        <v/>
      </c>
      <c r="K28" s="43">
        <f>SUMIFS(Lancamentos!$E:$E,Lancamentos!$B:$B,"Investimento",Lancamentos!$G:$G,K$3)</f>
        <v/>
      </c>
      <c r="L28" s="43">
        <f>SUMIFS(Lancamentos!$E:$E,Lancamentos!$B:$B,"Investimento",Lancamentos!$G:$G,L$3)</f>
        <v/>
      </c>
      <c r="M28" s="43">
        <f>SUMIFS(Lancamentos!$E:$E,Lancamentos!$B:$B,"Investimento",Lancamentos!$G:$G,M$3)</f>
        <v/>
      </c>
      <c r="N28" s="43">
        <f>SUMIFS(Lancamentos!$E:$E,Lancamentos!$B:$B,"Investimento",Lancamentos!$G:$G,N$3)</f>
        <v/>
      </c>
      <c r="O28" s="43">
        <f>SUM(C28:N28)</f>
        <v/>
      </c>
      <c r="P28" s="42" t="n"/>
    </row>
    <row r="29">
      <c r="A29" s="44" t="inlineStr">
        <is>
          <t>SALDO DO MÊS (sobra em conta)</t>
        </is>
      </c>
      <c r="B29" s="44" t="n"/>
      <c r="C29" s="45">
        <f>C26-C17-C28</f>
        <v/>
      </c>
      <c r="D29" s="45">
        <f>D26-D17-D28</f>
        <v/>
      </c>
      <c r="E29" s="45">
        <f>E26-E17-E28</f>
        <v/>
      </c>
      <c r="F29" s="45">
        <f>F26-F17-F28</f>
        <v/>
      </c>
      <c r="G29" s="45">
        <f>G26-G17-G28</f>
        <v/>
      </c>
      <c r="H29" s="45">
        <f>H26-H17-H28</f>
        <v/>
      </c>
      <c r="I29" s="45">
        <f>I26-I17-I28</f>
        <v/>
      </c>
      <c r="J29" s="45">
        <f>J26-J17-J28</f>
        <v/>
      </c>
      <c r="K29" s="45">
        <f>K26-K17-K28</f>
        <v/>
      </c>
      <c r="L29" s="45">
        <f>L26-L17-L28</f>
        <v/>
      </c>
      <c r="M29" s="45">
        <f>M26-M17-M28</f>
        <v/>
      </c>
      <c r="N29" s="45">
        <f>N26-N17-N28</f>
        <v/>
      </c>
      <c r="O29" s="45">
        <f>SUM(C29:N29)</f>
        <v/>
      </c>
      <c r="P29" s="44" t="n"/>
    </row>
    <row r="30">
      <c r="A30" s="46" t="inlineStr">
        <is>
          <t>TAXA DE POUPANÇA (%)</t>
        </is>
      </c>
      <c r="B30" s="46" t="n"/>
      <c r="C30" s="47">
        <f>IFERROR((C26-C17)/C26,"")</f>
        <v/>
      </c>
      <c r="D30" s="47">
        <f>IFERROR((D26-D17)/D26,"")</f>
        <v/>
      </c>
      <c r="E30" s="47">
        <f>IFERROR((E26-E17)/E26,"")</f>
        <v/>
      </c>
      <c r="F30" s="47">
        <f>IFERROR((F26-F17)/F26,"")</f>
        <v/>
      </c>
      <c r="G30" s="47">
        <f>IFERROR((G26-G17)/G26,"")</f>
        <v/>
      </c>
      <c r="H30" s="47">
        <f>IFERROR((H26-H17)/H26,"")</f>
        <v/>
      </c>
      <c r="I30" s="47">
        <f>IFERROR((I26-I17)/I26,"")</f>
        <v/>
      </c>
      <c r="J30" s="47">
        <f>IFERROR((J26-J17)/J26,"")</f>
        <v/>
      </c>
      <c r="K30" s="47">
        <f>IFERROR((K26-K17)/K26,"")</f>
        <v/>
      </c>
      <c r="L30" s="47">
        <f>IFERROR((L26-L17)/L26,"")</f>
        <v/>
      </c>
      <c r="M30" s="47">
        <f>IFERROR((M26-M17)/M26,"")</f>
        <v/>
      </c>
      <c r="N30" s="47">
        <f>IFERROR((N26-N17)/N26,"")</f>
        <v/>
      </c>
      <c r="O30" s="47">
        <f>IFERROR((O26-O17)/O26,"")</f>
        <v/>
      </c>
      <c r="P30" s="46" t="n"/>
    </row>
  </sheetData>
  <mergeCells count="3">
    <mergeCell ref="A1:P1"/>
    <mergeCell ref="A19:P19"/>
    <mergeCell ref="A2:P2"/>
  </mergeCells>
  <conditionalFormatting sqref="C5:N16">
    <cfRule type="expression" priority="1" dxfId="1">
      <formula>AND(C5&gt;0,C5&gt;$B5)</formula>
    </cfRule>
  </conditionalFormatting>
  <conditionalFormatting sqref="C29:O29"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D28D9"/>
    <outlinePr summaryBelow="1" summaryRight="1"/>
    <pageSetUpPr/>
  </sheetPr>
  <dimension ref="A1:L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  <col width="13" customWidth="1" min="11" max="11"/>
    <col width="12" customWidth="1" min="12" max="12"/>
  </cols>
  <sheetData>
    <row r="1" ht="30" customHeight="1">
      <c r="A1" s="48" t="inlineStr">
        <is>
          <t>📈 CARTEIRA DE INVESTIMENTOS — AÇÕES, FIIs E ETFs</t>
        </is>
      </c>
    </row>
    <row r="2">
      <c r="A2" s="26" t="inlineStr">
        <is>
          <t>Atualize apenas as colunas amarelas (Quantidade, Preço Médio, Preço Atual e Dividendos). Todo o resto é calculado automaticamente.</t>
        </is>
      </c>
    </row>
    <row r="4" ht="26" customHeight="1">
      <c r="A4" s="49" t="inlineStr">
        <is>
          <t>Ticker</t>
        </is>
      </c>
      <c r="B4" s="49" t="inlineStr">
        <is>
          <t>Classe</t>
        </is>
      </c>
      <c r="C4" s="49" t="inlineStr">
        <is>
          <t>Quantidade</t>
        </is>
      </c>
      <c r="D4" s="49" t="inlineStr">
        <is>
          <t>Preço Médio</t>
        </is>
      </c>
      <c r="E4" s="49" t="inlineStr">
        <is>
          <t>Preço Atual</t>
        </is>
      </c>
      <c r="F4" s="49" t="inlineStr">
        <is>
          <t>Total Investido</t>
        </is>
      </c>
      <c r="G4" s="49" t="inlineStr">
        <is>
          <t>Valor Atual</t>
        </is>
      </c>
      <c r="H4" s="49" t="inlineStr">
        <is>
          <t>Resultado (R$)</t>
        </is>
      </c>
      <c r="I4" s="49" t="inlineStr">
        <is>
          <t>Resultado (%)</t>
        </is>
      </c>
      <c r="J4" s="49" t="inlineStr">
        <is>
          <t>% da Carteira</t>
        </is>
      </c>
      <c r="K4" s="49" t="inlineStr">
        <is>
          <t>Dividendos 12m</t>
        </is>
      </c>
      <c r="L4" s="49" t="inlineStr">
        <is>
          <t>Yield s/ Custo</t>
        </is>
      </c>
    </row>
    <row r="5">
      <c r="A5" s="30" t="inlineStr">
        <is>
          <t>PETR4</t>
        </is>
      </c>
      <c r="B5" s="30" t="inlineStr">
        <is>
          <t>Ação</t>
        </is>
      </c>
      <c r="C5" s="50" t="n">
        <v>200</v>
      </c>
      <c r="D5" s="51" t="n">
        <v>32.5</v>
      </c>
      <c r="E5" s="51" t="n">
        <v>38.2</v>
      </c>
      <c r="F5" s="31">
        <f>IF($A5="","",C5*D5)</f>
        <v/>
      </c>
      <c r="G5" s="31">
        <f>IF($A5="","",C5*E5)</f>
        <v/>
      </c>
      <c r="H5" s="31">
        <f>IF($A5="","",G5-F5)</f>
        <v/>
      </c>
      <c r="I5" s="52">
        <f>IF($A5="","",IFERROR(H5/F5,0))</f>
        <v/>
      </c>
      <c r="J5" s="52">
        <f>IF($A5="","",IFERROR(G5/$G$25,0))</f>
        <v/>
      </c>
      <c r="K5" s="51" t="n">
        <v>980</v>
      </c>
      <c r="L5" s="52">
        <f>IF($A5="","",IFERROR(K5/F5,0))</f>
        <v/>
      </c>
    </row>
    <row r="6">
      <c r="A6" s="30" t="inlineStr">
        <is>
          <t>VALE3</t>
        </is>
      </c>
      <c r="B6" s="30" t="inlineStr">
        <is>
          <t>Ação</t>
        </is>
      </c>
      <c r="C6" s="50" t="n">
        <v>300</v>
      </c>
      <c r="D6" s="51" t="n">
        <v>61.8</v>
      </c>
      <c r="E6" s="51" t="n">
        <v>55.4</v>
      </c>
      <c r="F6" s="31">
        <f>IF($A6="","",C6*D6)</f>
        <v/>
      </c>
      <c r="G6" s="31">
        <f>IF($A6="","",C6*E6)</f>
        <v/>
      </c>
      <c r="H6" s="31">
        <f>IF($A6="","",G6-F6)</f>
        <v/>
      </c>
      <c r="I6" s="52">
        <f>IF($A6="","",IFERROR(H6/F6,0))</f>
        <v/>
      </c>
      <c r="J6" s="52">
        <f>IF($A6="","",IFERROR(G6/$G$25,0))</f>
        <v/>
      </c>
      <c r="K6" s="51" t="n">
        <v>1240</v>
      </c>
      <c r="L6" s="52">
        <f>IF($A6="","",IFERROR(K6/F6,0))</f>
        <v/>
      </c>
    </row>
    <row r="7">
      <c r="A7" s="30" t="inlineStr">
        <is>
          <t>ITUB4</t>
        </is>
      </c>
      <c r="B7" s="30" t="inlineStr">
        <is>
          <t>Ação</t>
        </is>
      </c>
      <c r="C7" s="50" t="n">
        <v>400</v>
      </c>
      <c r="D7" s="51" t="n">
        <v>27.3</v>
      </c>
      <c r="E7" s="51" t="n">
        <v>34.1</v>
      </c>
      <c r="F7" s="31">
        <f>IF($A7="","",C7*D7)</f>
        <v/>
      </c>
      <c r="G7" s="31">
        <f>IF($A7="","",C7*E7)</f>
        <v/>
      </c>
      <c r="H7" s="31">
        <f>IF($A7="","",G7-F7)</f>
        <v/>
      </c>
      <c r="I7" s="52">
        <f>IF($A7="","",IFERROR(H7/F7,0))</f>
        <v/>
      </c>
      <c r="J7" s="52">
        <f>IF($A7="","",IFERROR(G7/$G$25,0))</f>
        <v/>
      </c>
      <c r="K7" s="51" t="n">
        <v>690</v>
      </c>
      <c r="L7" s="52">
        <f>IF($A7="","",IFERROR(K7/F7,0))</f>
        <v/>
      </c>
    </row>
    <row r="8">
      <c r="A8" s="30" t="inlineStr">
        <is>
          <t>BBAS3</t>
        </is>
      </c>
      <c r="B8" s="30" t="inlineStr">
        <is>
          <t>Ação</t>
        </is>
      </c>
      <c r="C8" s="50" t="n">
        <v>250</v>
      </c>
      <c r="D8" s="51" t="n">
        <v>26.5</v>
      </c>
      <c r="E8" s="51" t="n">
        <v>28.9</v>
      </c>
      <c r="F8" s="31">
        <f>IF($A8="","",C8*D8)</f>
        <v/>
      </c>
      <c r="G8" s="31">
        <f>IF($A8="","",C8*E8)</f>
        <v/>
      </c>
      <c r="H8" s="31">
        <f>IF($A8="","",G8-F8)</f>
        <v/>
      </c>
      <c r="I8" s="52">
        <f>IF($A8="","",IFERROR(H8/F8,0))</f>
        <v/>
      </c>
      <c r="J8" s="52">
        <f>IF($A8="","",IFERROR(G8/$G$25,0))</f>
        <v/>
      </c>
      <c r="K8" s="51" t="n">
        <v>720</v>
      </c>
      <c r="L8" s="52">
        <f>IF($A8="","",IFERROR(K8/F8,0))</f>
        <v/>
      </c>
    </row>
    <row r="9">
      <c r="A9" s="30" t="inlineStr">
        <is>
          <t>WEGE3</t>
        </is>
      </c>
      <c r="B9" s="30" t="inlineStr">
        <is>
          <t>Ação</t>
        </is>
      </c>
      <c r="C9" s="50" t="n">
        <v>150</v>
      </c>
      <c r="D9" s="51" t="n">
        <v>36.4</v>
      </c>
      <c r="E9" s="51" t="n">
        <v>41.75</v>
      </c>
      <c r="F9" s="31">
        <f>IF($A9="","",C9*D9)</f>
        <v/>
      </c>
      <c r="G9" s="31">
        <f>IF($A9="","",C9*E9)</f>
        <v/>
      </c>
      <c r="H9" s="31">
        <f>IF($A9="","",G9-F9)</f>
        <v/>
      </c>
      <c r="I9" s="52">
        <f>IF($A9="","",IFERROR(H9/F9,0))</f>
        <v/>
      </c>
      <c r="J9" s="52">
        <f>IF($A9="","",IFERROR(G9/$G$25,0))</f>
        <v/>
      </c>
      <c r="K9" s="51" t="n">
        <v>95</v>
      </c>
      <c r="L9" s="52">
        <f>IF($A9="","",IFERROR(K9/F9,0))</f>
        <v/>
      </c>
    </row>
    <row r="10">
      <c r="A10" s="30" t="inlineStr">
        <is>
          <t>TAEE11</t>
        </is>
      </c>
      <c r="B10" s="30" t="inlineStr">
        <is>
          <t>Ação</t>
        </is>
      </c>
      <c r="C10" s="50" t="n">
        <v>200</v>
      </c>
      <c r="D10" s="51" t="n">
        <v>34.2</v>
      </c>
      <c r="E10" s="51" t="n">
        <v>36.1</v>
      </c>
      <c r="F10" s="31">
        <f>IF($A10="","",C10*D10)</f>
        <v/>
      </c>
      <c r="G10" s="31">
        <f>IF($A10="","",C10*E10)</f>
        <v/>
      </c>
      <c r="H10" s="31">
        <f>IF($A10="","",G10-F10)</f>
        <v/>
      </c>
      <c r="I10" s="52">
        <f>IF($A10="","",IFERROR(H10/F10,0))</f>
        <v/>
      </c>
      <c r="J10" s="52">
        <f>IF($A10="","",IFERROR(G10/$G$25,0))</f>
        <v/>
      </c>
      <c r="K10" s="51" t="n">
        <v>610</v>
      </c>
      <c r="L10" s="52">
        <f>IF($A10="","",IFERROR(K10/F10,0))</f>
        <v/>
      </c>
    </row>
    <row r="11">
      <c r="A11" s="30" t="inlineStr">
        <is>
          <t>B3SA3</t>
        </is>
      </c>
      <c r="B11" s="30" t="inlineStr">
        <is>
          <t>Ação</t>
        </is>
      </c>
      <c r="C11" s="50" t="n">
        <v>500</v>
      </c>
      <c r="D11" s="51" t="n">
        <v>10.8</v>
      </c>
      <c r="E11" s="51" t="n">
        <v>12.35</v>
      </c>
      <c r="F11" s="31">
        <f>IF($A11="","",C11*D11)</f>
        <v/>
      </c>
      <c r="G11" s="31">
        <f>IF($A11="","",C11*E11)</f>
        <v/>
      </c>
      <c r="H11" s="31">
        <f>IF($A11="","",G11-F11)</f>
        <v/>
      </c>
      <c r="I11" s="52">
        <f>IF($A11="","",IFERROR(H11/F11,0))</f>
        <v/>
      </c>
      <c r="J11" s="52">
        <f>IF($A11="","",IFERROR(G11/$G$25,0))</f>
        <v/>
      </c>
      <c r="K11" s="51" t="n">
        <v>310</v>
      </c>
      <c r="L11" s="52">
        <f>IF($A11="","",IFERROR(K11/F11,0))</f>
        <v/>
      </c>
    </row>
    <row r="12">
      <c r="A12" s="30" t="inlineStr">
        <is>
          <t>KNRI11</t>
        </is>
      </c>
      <c r="B12" s="30" t="inlineStr">
        <is>
          <t>FII</t>
        </is>
      </c>
      <c r="C12" s="50" t="n">
        <v>80</v>
      </c>
      <c r="D12" s="51" t="n">
        <v>152</v>
      </c>
      <c r="E12" s="51" t="n">
        <v>161.5</v>
      </c>
      <c r="F12" s="31">
        <f>IF($A12="","",C12*D12)</f>
        <v/>
      </c>
      <c r="G12" s="31">
        <f>IF($A12="","",C12*E12)</f>
        <v/>
      </c>
      <c r="H12" s="31">
        <f>IF($A12="","",G12-F12)</f>
        <v/>
      </c>
      <c r="I12" s="52">
        <f>IF($A12="","",IFERROR(H12/F12,0))</f>
        <v/>
      </c>
      <c r="J12" s="52">
        <f>IF($A12="","",IFERROR(G12/$G$25,0))</f>
        <v/>
      </c>
      <c r="K12" s="51" t="n">
        <v>1050</v>
      </c>
      <c r="L12" s="52">
        <f>IF($A12="","",IFERROR(K12/F12,0))</f>
        <v/>
      </c>
    </row>
    <row r="13">
      <c r="A13" s="30" t="inlineStr">
        <is>
          <t>HGLG11</t>
        </is>
      </c>
      <c r="B13" s="30" t="inlineStr">
        <is>
          <t>FII</t>
        </is>
      </c>
      <c r="C13" s="50" t="n">
        <v>60</v>
      </c>
      <c r="D13" s="51" t="n">
        <v>158.3</v>
      </c>
      <c r="E13" s="51" t="n">
        <v>165.2</v>
      </c>
      <c r="F13" s="31">
        <f>IF($A13="","",C13*D13)</f>
        <v/>
      </c>
      <c r="G13" s="31">
        <f>IF($A13="","",C13*E13)</f>
        <v/>
      </c>
      <c r="H13" s="31">
        <f>IF($A13="","",G13-F13)</f>
        <v/>
      </c>
      <c r="I13" s="52">
        <f>IF($A13="","",IFERROR(H13/F13,0))</f>
        <v/>
      </c>
      <c r="J13" s="52">
        <f>IF($A13="","",IFERROR(G13/$G$25,0))</f>
        <v/>
      </c>
      <c r="K13" s="51" t="n">
        <v>880</v>
      </c>
      <c r="L13" s="52">
        <f>IF($A13="","",IFERROR(K13/F13,0))</f>
        <v/>
      </c>
    </row>
    <row r="14">
      <c r="A14" s="30" t="inlineStr">
        <is>
          <t>IVVB11</t>
        </is>
      </c>
      <c r="B14" s="30" t="inlineStr">
        <is>
          <t>ETF</t>
        </is>
      </c>
      <c r="C14" s="50" t="n">
        <v>50</v>
      </c>
      <c r="D14" s="51" t="n">
        <v>280</v>
      </c>
      <c r="E14" s="51" t="n">
        <v>341.6</v>
      </c>
      <c r="F14" s="31">
        <f>IF($A14="","",C14*D14)</f>
        <v/>
      </c>
      <c r="G14" s="31">
        <f>IF($A14="","",C14*E14)</f>
        <v/>
      </c>
      <c r="H14" s="31">
        <f>IF($A14="","",G14-F14)</f>
        <v/>
      </c>
      <c r="I14" s="52">
        <f>IF($A14="","",IFERROR(H14/F14,0))</f>
        <v/>
      </c>
      <c r="J14" s="52">
        <f>IF($A14="","",IFERROR(G14/$G$25,0))</f>
        <v/>
      </c>
      <c r="K14" s="51" t="n">
        <v>0</v>
      </c>
      <c r="L14" s="52">
        <f>IF($A14="","",IFERROR(K14/F14,0))</f>
        <v/>
      </c>
    </row>
    <row r="15">
      <c r="A15" s="30" t="n"/>
      <c r="B15" s="30" t="n"/>
      <c r="C15" s="50" t="n"/>
      <c r="D15" s="51" t="n"/>
      <c r="E15" s="51" t="n"/>
      <c r="F15" s="31">
        <f>IF($A15="","",C15*D15)</f>
        <v/>
      </c>
      <c r="G15" s="31">
        <f>IF($A15="","",C15*E15)</f>
        <v/>
      </c>
      <c r="H15" s="31">
        <f>IF($A15="","",G15-F15)</f>
        <v/>
      </c>
      <c r="I15" s="52">
        <f>IF($A15="","",IFERROR(H15/F15,0))</f>
        <v/>
      </c>
      <c r="J15" s="52">
        <f>IF($A15="","",IFERROR(G15/$G$25,0))</f>
        <v/>
      </c>
      <c r="K15" s="51" t="n"/>
      <c r="L15" s="52">
        <f>IF($A15="","",IFERROR(K15/F15,0))</f>
        <v/>
      </c>
    </row>
    <row r="16">
      <c r="A16" s="30" t="n"/>
      <c r="B16" s="30" t="n"/>
      <c r="C16" s="50" t="n"/>
      <c r="D16" s="51" t="n"/>
      <c r="E16" s="51" t="n"/>
      <c r="F16" s="31">
        <f>IF($A16="","",C16*D16)</f>
        <v/>
      </c>
      <c r="G16" s="31">
        <f>IF($A16="","",C16*E16)</f>
        <v/>
      </c>
      <c r="H16" s="31">
        <f>IF($A16="","",G16-F16)</f>
        <v/>
      </c>
      <c r="I16" s="52">
        <f>IF($A16="","",IFERROR(H16/F16,0))</f>
        <v/>
      </c>
      <c r="J16" s="52">
        <f>IF($A16="","",IFERROR(G16/$G$25,0))</f>
        <v/>
      </c>
      <c r="K16" s="51" t="n"/>
      <c r="L16" s="52">
        <f>IF($A16="","",IFERROR(K16/F16,0))</f>
        <v/>
      </c>
    </row>
    <row r="17">
      <c r="A17" s="30" t="n"/>
      <c r="B17" s="30" t="n"/>
      <c r="C17" s="50" t="n"/>
      <c r="D17" s="51" t="n"/>
      <c r="E17" s="51" t="n"/>
      <c r="F17" s="31">
        <f>IF($A17="","",C17*D17)</f>
        <v/>
      </c>
      <c r="G17" s="31">
        <f>IF($A17="","",C17*E17)</f>
        <v/>
      </c>
      <c r="H17" s="31">
        <f>IF($A17="","",G17-F17)</f>
        <v/>
      </c>
      <c r="I17" s="52">
        <f>IF($A17="","",IFERROR(H17/F17,0))</f>
        <v/>
      </c>
      <c r="J17" s="52">
        <f>IF($A17="","",IFERROR(G17/$G$25,0))</f>
        <v/>
      </c>
      <c r="K17" s="51" t="n"/>
      <c r="L17" s="52">
        <f>IF($A17="","",IFERROR(K17/F17,0))</f>
        <v/>
      </c>
    </row>
    <row r="18">
      <c r="A18" s="30" t="n"/>
      <c r="B18" s="30" t="n"/>
      <c r="C18" s="50" t="n"/>
      <c r="D18" s="51" t="n"/>
      <c r="E18" s="51" t="n"/>
      <c r="F18" s="31">
        <f>IF($A18="","",C18*D18)</f>
        <v/>
      </c>
      <c r="G18" s="31">
        <f>IF($A18="","",C18*E18)</f>
        <v/>
      </c>
      <c r="H18" s="31">
        <f>IF($A18="","",G18-F18)</f>
        <v/>
      </c>
      <c r="I18" s="52">
        <f>IF($A18="","",IFERROR(H18/F18,0))</f>
        <v/>
      </c>
      <c r="J18" s="52">
        <f>IF($A18="","",IFERROR(G18/$G$25,0))</f>
        <v/>
      </c>
      <c r="K18" s="51" t="n"/>
      <c r="L18" s="52">
        <f>IF($A18="","",IFERROR(K18/F18,0))</f>
        <v/>
      </c>
    </row>
    <row r="19">
      <c r="A19" s="30" t="n"/>
      <c r="B19" s="30" t="n"/>
      <c r="C19" s="50" t="n"/>
      <c r="D19" s="51" t="n"/>
      <c r="E19" s="51" t="n"/>
      <c r="F19" s="31">
        <f>IF($A19="","",C19*D19)</f>
        <v/>
      </c>
      <c r="G19" s="31">
        <f>IF($A19="","",C19*E19)</f>
        <v/>
      </c>
      <c r="H19" s="31">
        <f>IF($A19="","",G19-F19)</f>
        <v/>
      </c>
      <c r="I19" s="52">
        <f>IF($A19="","",IFERROR(H19/F19,0))</f>
        <v/>
      </c>
      <c r="J19" s="52">
        <f>IF($A19="","",IFERROR(G19/$G$25,0))</f>
        <v/>
      </c>
      <c r="K19" s="51" t="n"/>
      <c r="L19" s="52">
        <f>IF($A19="","",IFERROR(K19/F19,0))</f>
        <v/>
      </c>
    </row>
    <row r="20">
      <c r="A20" s="30" t="n"/>
      <c r="B20" s="30" t="n"/>
      <c r="C20" s="50" t="n"/>
      <c r="D20" s="51" t="n"/>
      <c r="E20" s="51" t="n"/>
      <c r="F20" s="31">
        <f>IF($A20="","",C20*D20)</f>
        <v/>
      </c>
      <c r="G20" s="31">
        <f>IF($A20="","",C20*E20)</f>
        <v/>
      </c>
      <c r="H20" s="31">
        <f>IF($A20="","",G20-F20)</f>
        <v/>
      </c>
      <c r="I20" s="52">
        <f>IF($A20="","",IFERROR(H20/F20,0))</f>
        <v/>
      </c>
      <c r="J20" s="52">
        <f>IF($A20="","",IFERROR(G20/$G$25,0))</f>
        <v/>
      </c>
      <c r="K20" s="51" t="n"/>
      <c r="L20" s="52">
        <f>IF($A20="","",IFERROR(K20/F20,0))</f>
        <v/>
      </c>
    </row>
    <row r="21">
      <c r="A21" s="30" t="n"/>
      <c r="B21" s="30" t="n"/>
      <c r="C21" s="50" t="n"/>
      <c r="D21" s="51" t="n"/>
      <c r="E21" s="51" t="n"/>
      <c r="F21" s="31">
        <f>IF($A21="","",C21*D21)</f>
        <v/>
      </c>
      <c r="G21" s="31">
        <f>IF($A21="","",C21*E21)</f>
        <v/>
      </c>
      <c r="H21" s="31">
        <f>IF($A21="","",G21-F21)</f>
        <v/>
      </c>
      <c r="I21" s="52">
        <f>IF($A21="","",IFERROR(H21/F21,0))</f>
        <v/>
      </c>
      <c r="J21" s="52">
        <f>IF($A21="","",IFERROR(G21/$G$25,0))</f>
        <v/>
      </c>
      <c r="K21" s="51" t="n"/>
      <c r="L21" s="52">
        <f>IF($A21="","",IFERROR(K21/F21,0))</f>
        <v/>
      </c>
    </row>
    <row r="22">
      <c r="A22" s="30" t="n"/>
      <c r="B22" s="30" t="n"/>
      <c r="C22" s="50" t="n"/>
      <c r="D22" s="51" t="n"/>
      <c r="E22" s="51" t="n"/>
      <c r="F22" s="31">
        <f>IF($A22="","",C22*D22)</f>
        <v/>
      </c>
      <c r="G22" s="31">
        <f>IF($A22="","",C22*E22)</f>
        <v/>
      </c>
      <c r="H22" s="31">
        <f>IF($A22="","",G22-F22)</f>
        <v/>
      </c>
      <c r="I22" s="52">
        <f>IF($A22="","",IFERROR(H22/F22,0))</f>
        <v/>
      </c>
      <c r="J22" s="52">
        <f>IF($A22="","",IFERROR(G22/$G$25,0))</f>
        <v/>
      </c>
      <c r="K22" s="51" t="n"/>
      <c r="L22" s="52">
        <f>IF($A22="","",IFERROR(K22/F22,0))</f>
        <v/>
      </c>
    </row>
    <row r="23">
      <c r="A23" s="30" t="n"/>
      <c r="B23" s="30" t="n"/>
      <c r="C23" s="50" t="n"/>
      <c r="D23" s="51" t="n"/>
      <c r="E23" s="51" t="n"/>
      <c r="F23" s="31">
        <f>IF($A23="","",C23*D23)</f>
        <v/>
      </c>
      <c r="G23" s="31">
        <f>IF($A23="","",C23*E23)</f>
        <v/>
      </c>
      <c r="H23" s="31">
        <f>IF($A23="","",G23-F23)</f>
        <v/>
      </c>
      <c r="I23" s="52">
        <f>IF($A23="","",IFERROR(H23/F23,0))</f>
        <v/>
      </c>
      <c r="J23" s="52">
        <f>IF($A23="","",IFERROR(G23/$G$25,0))</f>
        <v/>
      </c>
      <c r="K23" s="51" t="n"/>
      <c r="L23" s="52">
        <f>IF($A23="","",IFERROR(K23/F23,0))</f>
        <v/>
      </c>
    </row>
    <row r="24">
      <c r="A24" s="30" t="n"/>
      <c r="B24" s="30" t="n"/>
      <c r="C24" s="50" t="n"/>
      <c r="D24" s="51" t="n"/>
      <c r="E24" s="51" t="n"/>
      <c r="F24" s="31">
        <f>IF($A24="","",C24*D24)</f>
        <v/>
      </c>
      <c r="G24" s="31">
        <f>IF($A24="","",C24*E24)</f>
        <v/>
      </c>
      <c r="H24" s="31">
        <f>IF($A24="","",G24-F24)</f>
        <v/>
      </c>
      <c r="I24" s="52">
        <f>IF($A24="","",IFERROR(H24/F24,0))</f>
        <v/>
      </c>
      <c r="J24" s="52">
        <f>IF($A24="","",IFERROR(G24/$G$25,0))</f>
        <v/>
      </c>
      <c r="K24" s="51" t="n"/>
      <c r="L24" s="52">
        <f>IF($A24="","",IFERROR(K24/F24,0))</f>
        <v/>
      </c>
    </row>
    <row r="25">
      <c r="A25" s="53" t="inlineStr">
        <is>
          <t>TOTAL DA CARTEIRA</t>
        </is>
      </c>
      <c r="B25" s="53" t="n"/>
      <c r="C25" s="53" t="n"/>
      <c r="D25" s="53" t="n"/>
      <c r="E25" s="53" t="n"/>
      <c r="F25" s="54">
        <f>SUM(F5:F24)</f>
        <v/>
      </c>
      <c r="G25" s="54">
        <f>SUM(G5:G24)</f>
        <v/>
      </c>
      <c r="H25" s="54">
        <f>G25-F25</f>
        <v/>
      </c>
      <c r="I25" s="55">
        <f>IFERROR(H25/F25,"")</f>
        <v/>
      </c>
      <c r="J25" s="55" t="n">
        <v>1</v>
      </c>
      <c r="K25" s="54">
        <f>SUM(K5:K24)</f>
        <v/>
      </c>
      <c r="L25" s="55">
        <f>IFERROR(K25/F25,"")</f>
        <v/>
      </c>
    </row>
  </sheetData>
  <mergeCells count="2">
    <mergeCell ref="A2:L2"/>
    <mergeCell ref="A1:L1"/>
  </mergeCells>
  <conditionalFormatting sqref="H5:I25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B5:B24" showDropDown="0" showInputMessage="0" showErrorMessage="0" allowBlank="1" type="list">
      <formula1>"Ação,FII,ETF,BDR,Renda Fixa,Cripto"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7B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 ht="30" customHeight="1">
      <c r="A1" s="56" t="inlineStr">
        <is>
          <t>🧮 SIMULADOR DE INVESTIMENTOS — JUROS COMPOSTOS</t>
        </is>
      </c>
    </row>
    <row r="3">
      <c r="A3" s="57" t="inlineStr">
        <is>
          <t>PARÂMETROS (edite as células amarelas)</t>
        </is>
      </c>
      <c r="D3" s="57" t="inlineStr">
        <is>
          <t>RESULTADO NO PRAZO ESCOLHIDO (cenário Moderado)</t>
        </is>
      </c>
    </row>
    <row r="4">
      <c r="A4" s="58" t="inlineStr">
        <is>
          <t>Aporte inicial (R$)</t>
        </is>
      </c>
      <c r="B4" s="59" t="n">
        <v>10000</v>
      </c>
      <c r="D4" s="58" t="inlineStr">
        <is>
          <t>Patrimônio final</t>
        </is>
      </c>
      <c r="E4" s="60">
        <f>IFERROR(INDEX($D$12:$D$42,MATCH($B$6,$A$12:$A$42,0)),"-")</f>
        <v/>
      </c>
    </row>
    <row r="5">
      <c r="A5" s="58" t="inlineStr">
        <is>
          <t>Aporte mensal (R$)</t>
        </is>
      </c>
      <c r="B5" s="59" t="n">
        <v>1500</v>
      </c>
      <c r="D5" s="58" t="inlineStr">
        <is>
          <t>Total aportado</t>
        </is>
      </c>
      <c r="E5" s="60">
        <f>IFERROR(INDEX($B$12:$B$42,MATCH($B$6,$A$12:$A$42,0)),"-")</f>
        <v/>
      </c>
    </row>
    <row r="6">
      <c r="A6" s="58" t="inlineStr">
        <is>
          <t>Prazo para análise (anos, até 30)</t>
        </is>
      </c>
      <c r="B6" s="61" t="n">
        <v>25</v>
      </c>
      <c r="D6" s="58" t="inlineStr">
        <is>
          <t>Juros acumulados (o dinheiro trabalhou)</t>
        </is>
      </c>
      <c r="E6" s="60">
        <f>IFERROR(E4-E5,"-")</f>
        <v/>
      </c>
    </row>
    <row r="7">
      <c r="D7" s="58" t="inlineStr">
        <is>
          <t>Renda mensal estimada (regra dos 4% a.a.)</t>
        </is>
      </c>
      <c r="E7" s="60">
        <f>IFERROR(E4*0.04/12,"-")</f>
        <v/>
      </c>
    </row>
    <row r="10">
      <c r="A10" s="62" t="inlineStr">
        <is>
          <t>Taxa anual de cada cenário →</t>
        </is>
      </c>
      <c r="C10" s="63" t="n">
        <v>0.08</v>
      </c>
      <c r="D10" s="63" t="n">
        <v>0.105</v>
      </c>
      <c r="E10" s="63" t="n">
        <v>0.13</v>
      </c>
    </row>
    <row r="11" ht="26" customHeight="1">
      <c r="A11" s="64" t="inlineStr">
        <is>
          <t>Ano</t>
        </is>
      </c>
      <c r="B11" s="64" t="inlineStr">
        <is>
          <t>Total Aportado</t>
        </is>
      </c>
      <c r="C11" s="64" t="inlineStr">
        <is>
          <t>Conservador
(Renda Fixa)</t>
        </is>
      </c>
      <c r="D11" s="64" t="inlineStr">
        <is>
          <t>Moderado
(Carteira mista)</t>
        </is>
      </c>
      <c r="E11" s="64" t="inlineStr">
        <is>
          <t>Arrojado
(Ações)</t>
        </is>
      </c>
    </row>
    <row r="12">
      <c r="A12" s="30" t="n">
        <v>0</v>
      </c>
      <c r="B12" s="36">
        <f>$B$4+$B$5*12*$A12</f>
        <v/>
      </c>
      <c r="C12" s="36">
        <f>FV((1+C$10)^(1/12)-1,$A12*12,-$B$5,-$B$4)</f>
        <v/>
      </c>
      <c r="D12" s="36">
        <f>FV((1+D$10)^(1/12)-1,$A12*12,-$B$5,-$B$4)</f>
        <v/>
      </c>
      <c r="E12" s="36">
        <f>FV((1+E$10)^(1/12)-1,$A12*12,-$B$5,-$B$4)</f>
        <v/>
      </c>
    </row>
    <row r="13">
      <c r="A13" s="30" t="n">
        <v>1</v>
      </c>
      <c r="B13" s="36">
        <f>$B$4+$B$5*12*$A13</f>
        <v/>
      </c>
      <c r="C13" s="36">
        <f>FV((1+C$10)^(1/12)-1,$A13*12,-$B$5,-$B$4)</f>
        <v/>
      </c>
      <c r="D13" s="36">
        <f>FV((1+D$10)^(1/12)-1,$A13*12,-$B$5,-$B$4)</f>
        <v/>
      </c>
      <c r="E13" s="36">
        <f>FV((1+E$10)^(1/12)-1,$A13*12,-$B$5,-$B$4)</f>
        <v/>
      </c>
    </row>
    <row r="14">
      <c r="A14" s="30" t="n">
        <v>2</v>
      </c>
      <c r="B14" s="36">
        <f>$B$4+$B$5*12*$A14</f>
        <v/>
      </c>
      <c r="C14" s="36">
        <f>FV((1+C$10)^(1/12)-1,$A14*12,-$B$5,-$B$4)</f>
        <v/>
      </c>
      <c r="D14" s="36">
        <f>FV((1+D$10)^(1/12)-1,$A14*12,-$B$5,-$B$4)</f>
        <v/>
      </c>
      <c r="E14" s="36">
        <f>FV((1+E$10)^(1/12)-1,$A14*12,-$B$5,-$B$4)</f>
        <v/>
      </c>
    </row>
    <row r="15">
      <c r="A15" s="30" t="n">
        <v>3</v>
      </c>
      <c r="B15" s="36">
        <f>$B$4+$B$5*12*$A15</f>
        <v/>
      </c>
      <c r="C15" s="36">
        <f>FV((1+C$10)^(1/12)-1,$A15*12,-$B$5,-$B$4)</f>
        <v/>
      </c>
      <c r="D15" s="36">
        <f>FV((1+D$10)^(1/12)-1,$A15*12,-$B$5,-$B$4)</f>
        <v/>
      </c>
      <c r="E15" s="36">
        <f>FV((1+E$10)^(1/12)-1,$A15*12,-$B$5,-$B$4)</f>
        <v/>
      </c>
    </row>
    <row r="16">
      <c r="A16" s="30" t="n">
        <v>4</v>
      </c>
      <c r="B16" s="36">
        <f>$B$4+$B$5*12*$A16</f>
        <v/>
      </c>
      <c r="C16" s="36">
        <f>FV((1+C$10)^(1/12)-1,$A16*12,-$B$5,-$B$4)</f>
        <v/>
      </c>
      <c r="D16" s="36">
        <f>FV((1+D$10)^(1/12)-1,$A16*12,-$B$5,-$B$4)</f>
        <v/>
      </c>
      <c r="E16" s="36">
        <f>FV((1+E$10)^(1/12)-1,$A16*12,-$B$5,-$B$4)</f>
        <v/>
      </c>
    </row>
    <row r="17">
      <c r="A17" s="30" t="n">
        <v>5</v>
      </c>
      <c r="B17" s="36">
        <f>$B$4+$B$5*12*$A17</f>
        <v/>
      </c>
      <c r="C17" s="36">
        <f>FV((1+C$10)^(1/12)-1,$A17*12,-$B$5,-$B$4)</f>
        <v/>
      </c>
      <c r="D17" s="36">
        <f>FV((1+D$10)^(1/12)-1,$A17*12,-$B$5,-$B$4)</f>
        <v/>
      </c>
      <c r="E17" s="36">
        <f>FV((1+E$10)^(1/12)-1,$A17*12,-$B$5,-$B$4)</f>
        <v/>
      </c>
    </row>
    <row r="18">
      <c r="A18" s="30" t="n">
        <v>6</v>
      </c>
      <c r="B18" s="36">
        <f>$B$4+$B$5*12*$A18</f>
        <v/>
      </c>
      <c r="C18" s="36">
        <f>FV((1+C$10)^(1/12)-1,$A18*12,-$B$5,-$B$4)</f>
        <v/>
      </c>
      <c r="D18" s="36">
        <f>FV((1+D$10)^(1/12)-1,$A18*12,-$B$5,-$B$4)</f>
        <v/>
      </c>
      <c r="E18" s="36">
        <f>FV((1+E$10)^(1/12)-1,$A18*12,-$B$5,-$B$4)</f>
        <v/>
      </c>
    </row>
    <row r="19">
      <c r="A19" s="30" t="n">
        <v>7</v>
      </c>
      <c r="B19" s="36">
        <f>$B$4+$B$5*12*$A19</f>
        <v/>
      </c>
      <c r="C19" s="36">
        <f>FV((1+C$10)^(1/12)-1,$A19*12,-$B$5,-$B$4)</f>
        <v/>
      </c>
      <c r="D19" s="36">
        <f>FV((1+D$10)^(1/12)-1,$A19*12,-$B$5,-$B$4)</f>
        <v/>
      </c>
      <c r="E19" s="36">
        <f>FV((1+E$10)^(1/12)-1,$A19*12,-$B$5,-$B$4)</f>
        <v/>
      </c>
    </row>
    <row r="20">
      <c r="A20" s="30" t="n">
        <v>8</v>
      </c>
      <c r="B20" s="36">
        <f>$B$4+$B$5*12*$A20</f>
        <v/>
      </c>
      <c r="C20" s="36">
        <f>FV((1+C$10)^(1/12)-1,$A20*12,-$B$5,-$B$4)</f>
        <v/>
      </c>
      <c r="D20" s="36">
        <f>FV((1+D$10)^(1/12)-1,$A20*12,-$B$5,-$B$4)</f>
        <v/>
      </c>
      <c r="E20" s="36">
        <f>FV((1+E$10)^(1/12)-1,$A20*12,-$B$5,-$B$4)</f>
        <v/>
      </c>
    </row>
    <row r="21">
      <c r="A21" s="30" t="n">
        <v>9</v>
      </c>
      <c r="B21" s="36">
        <f>$B$4+$B$5*12*$A21</f>
        <v/>
      </c>
      <c r="C21" s="36">
        <f>FV((1+C$10)^(1/12)-1,$A21*12,-$B$5,-$B$4)</f>
        <v/>
      </c>
      <c r="D21" s="36">
        <f>FV((1+D$10)^(1/12)-1,$A21*12,-$B$5,-$B$4)</f>
        <v/>
      </c>
      <c r="E21" s="36">
        <f>FV((1+E$10)^(1/12)-1,$A21*12,-$B$5,-$B$4)</f>
        <v/>
      </c>
    </row>
    <row r="22">
      <c r="A22" s="30" t="n">
        <v>10</v>
      </c>
      <c r="B22" s="36">
        <f>$B$4+$B$5*12*$A22</f>
        <v/>
      </c>
      <c r="C22" s="36">
        <f>FV((1+C$10)^(1/12)-1,$A22*12,-$B$5,-$B$4)</f>
        <v/>
      </c>
      <c r="D22" s="36">
        <f>FV((1+D$10)^(1/12)-1,$A22*12,-$B$5,-$B$4)</f>
        <v/>
      </c>
      <c r="E22" s="36">
        <f>FV((1+E$10)^(1/12)-1,$A22*12,-$B$5,-$B$4)</f>
        <v/>
      </c>
    </row>
    <row r="23">
      <c r="A23" s="30" t="n">
        <v>11</v>
      </c>
      <c r="B23" s="36">
        <f>$B$4+$B$5*12*$A23</f>
        <v/>
      </c>
      <c r="C23" s="36">
        <f>FV((1+C$10)^(1/12)-1,$A23*12,-$B$5,-$B$4)</f>
        <v/>
      </c>
      <c r="D23" s="36">
        <f>FV((1+D$10)^(1/12)-1,$A23*12,-$B$5,-$B$4)</f>
        <v/>
      </c>
      <c r="E23" s="36">
        <f>FV((1+E$10)^(1/12)-1,$A23*12,-$B$5,-$B$4)</f>
        <v/>
      </c>
    </row>
    <row r="24">
      <c r="A24" s="30" t="n">
        <v>12</v>
      </c>
      <c r="B24" s="36">
        <f>$B$4+$B$5*12*$A24</f>
        <v/>
      </c>
      <c r="C24" s="36">
        <f>FV((1+C$10)^(1/12)-1,$A24*12,-$B$5,-$B$4)</f>
        <v/>
      </c>
      <c r="D24" s="36">
        <f>FV((1+D$10)^(1/12)-1,$A24*12,-$B$5,-$B$4)</f>
        <v/>
      </c>
      <c r="E24" s="36">
        <f>FV((1+E$10)^(1/12)-1,$A24*12,-$B$5,-$B$4)</f>
        <v/>
      </c>
    </row>
    <row r="25">
      <c r="A25" s="30" t="n">
        <v>13</v>
      </c>
      <c r="B25" s="36">
        <f>$B$4+$B$5*12*$A25</f>
        <v/>
      </c>
      <c r="C25" s="36">
        <f>FV((1+C$10)^(1/12)-1,$A25*12,-$B$5,-$B$4)</f>
        <v/>
      </c>
      <c r="D25" s="36">
        <f>FV((1+D$10)^(1/12)-1,$A25*12,-$B$5,-$B$4)</f>
        <v/>
      </c>
      <c r="E25" s="36">
        <f>FV((1+E$10)^(1/12)-1,$A25*12,-$B$5,-$B$4)</f>
        <v/>
      </c>
    </row>
    <row r="26">
      <c r="A26" s="30" t="n">
        <v>14</v>
      </c>
      <c r="B26" s="36">
        <f>$B$4+$B$5*12*$A26</f>
        <v/>
      </c>
      <c r="C26" s="36">
        <f>FV((1+C$10)^(1/12)-1,$A26*12,-$B$5,-$B$4)</f>
        <v/>
      </c>
      <c r="D26" s="36">
        <f>FV((1+D$10)^(1/12)-1,$A26*12,-$B$5,-$B$4)</f>
        <v/>
      </c>
      <c r="E26" s="36">
        <f>FV((1+E$10)^(1/12)-1,$A26*12,-$B$5,-$B$4)</f>
        <v/>
      </c>
    </row>
    <row r="27">
      <c r="A27" s="30" t="n">
        <v>15</v>
      </c>
      <c r="B27" s="36">
        <f>$B$4+$B$5*12*$A27</f>
        <v/>
      </c>
      <c r="C27" s="36">
        <f>FV((1+C$10)^(1/12)-1,$A27*12,-$B$5,-$B$4)</f>
        <v/>
      </c>
      <c r="D27" s="36">
        <f>FV((1+D$10)^(1/12)-1,$A27*12,-$B$5,-$B$4)</f>
        <v/>
      </c>
      <c r="E27" s="36">
        <f>FV((1+E$10)^(1/12)-1,$A27*12,-$B$5,-$B$4)</f>
        <v/>
      </c>
    </row>
    <row r="28">
      <c r="A28" s="30" t="n">
        <v>16</v>
      </c>
      <c r="B28" s="36">
        <f>$B$4+$B$5*12*$A28</f>
        <v/>
      </c>
      <c r="C28" s="36">
        <f>FV((1+C$10)^(1/12)-1,$A28*12,-$B$5,-$B$4)</f>
        <v/>
      </c>
      <c r="D28" s="36">
        <f>FV((1+D$10)^(1/12)-1,$A28*12,-$B$5,-$B$4)</f>
        <v/>
      </c>
      <c r="E28" s="36">
        <f>FV((1+E$10)^(1/12)-1,$A28*12,-$B$5,-$B$4)</f>
        <v/>
      </c>
    </row>
    <row r="29">
      <c r="A29" s="30" t="n">
        <v>17</v>
      </c>
      <c r="B29" s="36">
        <f>$B$4+$B$5*12*$A29</f>
        <v/>
      </c>
      <c r="C29" s="36">
        <f>FV((1+C$10)^(1/12)-1,$A29*12,-$B$5,-$B$4)</f>
        <v/>
      </c>
      <c r="D29" s="36">
        <f>FV((1+D$10)^(1/12)-1,$A29*12,-$B$5,-$B$4)</f>
        <v/>
      </c>
      <c r="E29" s="36">
        <f>FV((1+E$10)^(1/12)-1,$A29*12,-$B$5,-$B$4)</f>
        <v/>
      </c>
    </row>
    <row r="30">
      <c r="A30" s="30" t="n">
        <v>18</v>
      </c>
      <c r="B30" s="36">
        <f>$B$4+$B$5*12*$A30</f>
        <v/>
      </c>
      <c r="C30" s="36">
        <f>FV((1+C$10)^(1/12)-1,$A30*12,-$B$5,-$B$4)</f>
        <v/>
      </c>
      <c r="D30" s="36">
        <f>FV((1+D$10)^(1/12)-1,$A30*12,-$B$5,-$B$4)</f>
        <v/>
      </c>
      <c r="E30" s="36">
        <f>FV((1+E$10)^(1/12)-1,$A30*12,-$B$5,-$B$4)</f>
        <v/>
      </c>
    </row>
    <row r="31">
      <c r="A31" s="30" t="n">
        <v>19</v>
      </c>
      <c r="B31" s="36">
        <f>$B$4+$B$5*12*$A31</f>
        <v/>
      </c>
      <c r="C31" s="36">
        <f>FV((1+C$10)^(1/12)-1,$A31*12,-$B$5,-$B$4)</f>
        <v/>
      </c>
      <c r="D31" s="36">
        <f>FV((1+D$10)^(1/12)-1,$A31*12,-$B$5,-$B$4)</f>
        <v/>
      </c>
      <c r="E31" s="36">
        <f>FV((1+E$10)^(1/12)-1,$A31*12,-$B$5,-$B$4)</f>
        <v/>
      </c>
    </row>
    <row r="32">
      <c r="A32" s="30" t="n">
        <v>20</v>
      </c>
      <c r="B32" s="36">
        <f>$B$4+$B$5*12*$A32</f>
        <v/>
      </c>
      <c r="C32" s="36">
        <f>FV((1+C$10)^(1/12)-1,$A32*12,-$B$5,-$B$4)</f>
        <v/>
      </c>
      <c r="D32" s="36">
        <f>FV((1+D$10)^(1/12)-1,$A32*12,-$B$5,-$B$4)</f>
        <v/>
      </c>
      <c r="E32" s="36">
        <f>FV((1+E$10)^(1/12)-1,$A32*12,-$B$5,-$B$4)</f>
        <v/>
      </c>
    </row>
    <row r="33">
      <c r="A33" s="30" t="n">
        <v>21</v>
      </c>
      <c r="B33" s="36">
        <f>$B$4+$B$5*12*$A33</f>
        <v/>
      </c>
      <c r="C33" s="36">
        <f>FV((1+C$10)^(1/12)-1,$A33*12,-$B$5,-$B$4)</f>
        <v/>
      </c>
      <c r="D33" s="36">
        <f>FV((1+D$10)^(1/12)-1,$A33*12,-$B$5,-$B$4)</f>
        <v/>
      </c>
      <c r="E33" s="36">
        <f>FV((1+E$10)^(1/12)-1,$A33*12,-$B$5,-$B$4)</f>
        <v/>
      </c>
    </row>
    <row r="34">
      <c r="A34" s="30" t="n">
        <v>22</v>
      </c>
      <c r="B34" s="36">
        <f>$B$4+$B$5*12*$A34</f>
        <v/>
      </c>
      <c r="C34" s="36">
        <f>FV((1+C$10)^(1/12)-1,$A34*12,-$B$5,-$B$4)</f>
        <v/>
      </c>
      <c r="D34" s="36">
        <f>FV((1+D$10)^(1/12)-1,$A34*12,-$B$5,-$B$4)</f>
        <v/>
      </c>
      <c r="E34" s="36">
        <f>FV((1+E$10)^(1/12)-1,$A34*12,-$B$5,-$B$4)</f>
        <v/>
      </c>
    </row>
    <row r="35">
      <c r="A35" s="30" t="n">
        <v>23</v>
      </c>
      <c r="B35" s="36">
        <f>$B$4+$B$5*12*$A35</f>
        <v/>
      </c>
      <c r="C35" s="36">
        <f>FV((1+C$10)^(1/12)-1,$A35*12,-$B$5,-$B$4)</f>
        <v/>
      </c>
      <c r="D35" s="36">
        <f>FV((1+D$10)^(1/12)-1,$A35*12,-$B$5,-$B$4)</f>
        <v/>
      </c>
      <c r="E35" s="36">
        <f>FV((1+E$10)^(1/12)-1,$A35*12,-$B$5,-$B$4)</f>
        <v/>
      </c>
    </row>
    <row r="36">
      <c r="A36" s="30" t="n">
        <v>24</v>
      </c>
      <c r="B36" s="36">
        <f>$B$4+$B$5*12*$A36</f>
        <v/>
      </c>
      <c r="C36" s="36">
        <f>FV((1+C$10)^(1/12)-1,$A36*12,-$B$5,-$B$4)</f>
        <v/>
      </c>
      <c r="D36" s="36">
        <f>FV((1+D$10)^(1/12)-1,$A36*12,-$B$5,-$B$4)</f>
        <v/>
      </c>
      <c r="E36" s="36">
        <f>FV((1+E$10)^(1/12)-1,$A36*12,-$B$5,-$B$4)</f>
        <v/>
      </c>
    </row>
    <row r="37">
      <c r="A37" s="30" t="n">
        <v>25</v>
      </c>
      <c r="B37" s="36">
        <f>$B$4+$B$5*12*$A37</f>
        <v/>
      </c>
      <c r="C37" s="36">
        <f>FV((1+C$10)^(1/12)-1,$A37*12,-$B$5,-$B$4)</f>
        <v/>
      </c>
      <c r="D37" s="36">
        <f>FV((1+D$10)^(1/12)-1,$A37*12,-$B$5,-$B$4)</f>
        <v/>
      </c>
      <c r="E37" s="36">
        <f>FV((1+E$10)^(1/12)-1,$A37*12,-$B$5,-$B$4)</f>
        <v/>
      </c>
    </row>
    <row r="38">
      <c r="A38" s="30" t="n">
        <v>26</v>
      </c>
      <c r="B38" s="36">
        <f>$B$4+$B$5*12*$A38</f>
        <v/>
      </c>
      <c r="C38" s="36">
        <f>FV((1+C$10)^(1/12)-1,$A38*12,-$B$5,-$B$4)</f>
        <v/>
      </c>
      <c r="D38" s="36">
        <f>FV((1+D$10)^(1/12)-1,$A38*12,-$B$5,-$B$4)</f>
        <v/>
      </c>
      <c r="E38" s="36">
        <f>FV((1+E$10)^(1/12)-1,$A38*12,-$B$5,-$B$4)</f>
        <v/>
      </c>
    </row>
    <row r="39">
      <c r="A39" s="30" t="n">
        <v>27</v>
      </c>
      <c r="B39" s="36">
        <f>$B$4+$B$5*12*$A39</f>
        <v/>
      </c>
      <c r="C39" s="36">
        <f>FV((1+C$10)^(1/12)-1,$A39*12,-$B$5,-$B$4)</f>
        <v/>
      </c>
      <c r="D39" s="36">
        <f>FV((1+D$10)^(1/12)-1,$A39*12,-$B$5,-$B$4)</f>
        <v/>
      </c>
      <c r="E39" s="36">
        <f>FV((1+E$10)^(1/12)-1,$A39*12,-$B$5,-$B$4)</f>
        <v/>
      </c>
    </row>
    <row r="40">
      <c r="A40" s="30" t="n">
        <v>28</v>
      </c>
      <c r="B40" s="36">
        <f>$B$4+$B$5*12*$A40</f>
        <v/>
      </c>
      <c r="C40" s="36">
        <f>FV((1+C$10)^(1/12)-1,$A40*12,-$B$5,-$B$4)</f>
        <v/>
      </c>
      <c r="D40" s="36">
        <f>FV((1+D$10)^(1/12)-1,$A40*12,-$B$5,-$B$4)</f>
        <v/>
      </c>
      <c r="E40" s="36">
        <f>FV((1+E$10)^(1/12)-1,$A40*12,-$B$5,-$B$4)</f>
        <v/>
      </c>
    </row>
    <row r="41">
      <c r="A41" s="30" t="n">
        <v>29</v>
      </c>
      <c r="B41" s="36">
        <f>$B$4+$B$5*12*$A41</f>
        <v/>
      </c>
      <c r="C41" s="36">
        <f>FV((1+C$10)^(1/12)-1,$A41*12,-$B$5,-$B$4)</f>
        <v/>
      </c>
      <c r="D41" s="36">
        <f>FV((1+D$10)^(1/12)-1,$A41*12,-$B$5,-$B$4)</f>
        <v/>
      </c>
      <c r="E41" s="36">
        <f>FV((1+E$10)^(1/12)-1,$A41*12,-$B$5,-$B$4)</f>
        <v/>
      </c>
    </row>
    <row r="42">
      <c r="A42" s="30" t="n">
        <v>30</v>
      </c>
      <c r="B42" s="36">
        <f>$B$4+$B$5*12*$A42</f>
        <v/>
      </c>
      <c r="C42" s="36">
        <f>FV((1+C$10)^(1/12)-1,$A42*12,-$B$5,-$B$4)</f>
        <v/>
      </c>
      <c r="D42" s="36">
        <f>FV((1+D$10)^(1/12)-1,$A42*12,-$B$5,-$B$4)</f>
        <v/>
      </c>
      <c r="E42" s="36">
        <f>FV((1+E$10)^(1/12)-1,$A42*12,-$B$5,-$B$4)</f>
        <v/>
      </c>
    </row>
  </sheetData>
  <mergeCells count="3">
    <mergeCell ref="A3:B3"/>
    <mergeCell ref="D3:H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B7791F"/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9" customWidth="1" min="3" max="3"/>
    <col width="20" customWidth="1" min="4" max="4"/>
    <col width="16" customWidth="1" min="5" max="5"/>
    <col width="14" customWidth="1" min="6" max="6"/>
  </cols>
  <sheetData>
    <row r="1" ht="30" customHeight="1">
      <c r="A1" s="65" t="inlineStr">
        <is>
          <t>🔥 INDEPENDÊNCIA FINANCEIRA (FIRE)</t>
        </is>
      </c>
    </row>
    <row r="3">
      <c r="A3" s="66" t="inlineStr">
        <is>
          <t>SEUS DADOS (edite as células amarelas)</t>
        </is>
      </c>
    </row>
    <row r="4">
      <c r="A4" s="58" t="inlineStr">
        <is>
          <t>Custo de vida mensal (R$)</t>
        </is>
      </c>
      <c r="B4" s="59" t="n">
        <v>6000</v>
      </c>
    </row>
    <row r="5">
      <c r="A5" s="58" t="inlineStr">
        <is>
          <t>Taxa de retirada segura anual</t>
        </is>
      </c>
      <c r="B5" s="63" t="n">
        <v>0.04</v>
      </c>
    </row>
    <row r="6">
      <c r="A6" s="58" t="inlineStr">
        <is>
          <t>Patrimônio investido hoje (R$)</t>
        </is>
      </c>
      <c r="B6" s="59" t="n">
        <v>85000</v>
      </c>
    </row>
    <row r="7">
      <c r="A7" s="58" t="inlineStr">
        <is>
          <t>Aporte mensal (R$)</t>
        </is>
      </c>
      <c r="B7" s="59" t="n">
        <v>1500</v>
      </c>
    </row>
    <row r="8">
      <c r="A8" s="58" t="inlineStr">
        <is>
          <t>Retorno real anual esperado</t>
        </is>
      </c>
      <c r="B8" s="63" t="n">
        <v>0.07000000000000001</v>
      </c>
    </row>
    <row r="9">
      <c r="A9" s="58" t="inlineStr">
        <is>
          <t>Idade atual</t>
        </is>
      </c>
      <c r="B9" s="67" t="n">
        <v>30</v>
      </c>
    </row>
    <row r="11">
      <c r="A11" s="66" t="inlineStr">
        <is>
          <t>RESULTADOS</t>
        </is>
      </c>
      <c r="D11" s="66" t="inlineStr">
        <is>
          <t>MARCOS DA JORNADA</t>
        </is>
      </c>
    </row>
    <row r="12">
      <c r="A12" s="62" t="inlineStr">
        <is>
          <t>Número FIRE (patrimônio necessário)</t>
        </is>
      </c>
      <c r="B12" s="68">
        <f>B4*12/B5</f>
        <v/>
      </c>
      <c r="D12" s="58" t="inlineStr">
        <is>
          <t>25% do caminho</t>
        </is>
      </c>
      <c r="E12" s="69">
        <f>$B$12*0.25</f>
        <v/>
      </c>
      <c r="F12">
        <f>IF($B$6&gt;=E12,"✔ Atingido","Em progresso")</f>
        <v/>
      </c>
    </row>
    <row r="13">
      <c r="A13" s="62" t="inlineStr">
        <is>
          <t>Renda passiva mensal hoje</t>
        </is>
      </c>
      <c r="B13" s="68">
        <f>B6*B5/12</f>
        <v/>
      </c>
      <c r="D13" s="58" t="inlineStr">
        <is>
          <t>50% do caminho</t>
        </is>
      </c>
      <c r="E13" s="69">
        <f>$B$12*0.5</f>
        <v/>
      </c>
      <c r="F13">
        <f>IF($B$6&gt;=E13,"✔ Atingido","Em progresso")</f>
        <v/>
      </c>
    </row>
    <row r="14">
      <c r="A14" s="62" t="inlineStr">
        <is>
          <t>Progresso até a independência</t>
        </is>
      </c>
      <c r="B14" s="70">
        <f>MIN(1,B6/B12)</f>
        <v/>
      </c>
      <c r="D14" s="58" t="inlineStr">
        <is>
          <t>75% do caminho</t>
        </is>
      </c>
      <c r="E14" s="69">
        <f>$B$12*0.75</f>
        <v/>
      </c>
      <c r="F14">
        <f>IF($B$6&gt;=E14,"✔ Atingido","Em progresso")</f>
        <v/>
      </c>
    </row>
    <row r="15">
      <c r="A15" s="62" t="inlineStr">
        <is>
          <t>Anos até a independência</t>
        </is>
      </c>
      <c r="B15" s="71">
        <f>IF(B6&gt;=B12,0,IFERROR(NPER((1+B8)^(1/12)-1,-B7,-B6,B12)/12,"-"))</f>
        <v/>
      </c>
      <c r="D15" s="58" t="inlineStr">
        <is>
          <t>INDEPENDÊNCIA TOTAL</t>
        </is>
      </c>
      <c r="E15" s="69">
        <f>$B$12*1.0</f>
        <v/>
      </c>
      <c r="F15">
        <f>IF($B$6&gt;=E15,"✔ Atingido","Em progresso")</f>
        <v/>
      </c>
    </row>
    <row r="16">
      <c r="A16" s="62" t="inlineStr">
        <is>
          <t>Sua idade na independência</t>
        </is>
      </c>
      <c r="B16" s="71">
        <f>IFERROR(B9+B15,"-")</f>
        <v/>
      </c>
    </row>
    <row r="17">
      <c r="A17" s="62" t="inlineStr">
        <is>
          <t>Reserva de emergência alvo (6× custo)</t>
        </is>
      </c>
      <c r="B17" s="68">
        <f>B4*6</f>
        <v/>
      </c>
    </row>
    <row r="19" ht="26" customHeight="1">
      <c r="A19" s="72" t="inlineStr">
        <is>
          <t>Ano</t>
        </is>
      </c>
      <c r="B19" s="72" t="inlineStr">
        <is>
          <t>Idade</t>
        </is>
      </c>
      <c r="C19" s="72" t="inlineStr">
        <is>
          <t>Patrimônio Projetado</t>
        </is>
      </c>
      <c r="D19" s="72" t="inlineStr">
        <is>
          <t>Renda Passiva Mensal</t>
        </is>
      </c>
      <c r="E19" s="72" t="inlineStr">
        <is>
          <t>Meta FIRE</t>
        </is>
      </c>
      <c r="F19" s="72" t="inlineStr">
        <is>
          <t>Status</t>
        </is>
      </c>
    </row>
    <row r="20">
      <c r="A20" s="30" t="n">
        <v>0</v>
      </c>
      <c r="B20" s="30">
        <f>$B$9+A20</f>
        <v/>
      </c>
      <c r="C20" s="36">
        <f>FV((1+$B$8)^(1/12)-1,A20*12,-$B$7,-$B$6)</f>
        <v/>
      </c>
      <c r="D20" s="36">
        <f>C20*$B$5/12</f>
        <v/>
      </c>
      <c r="E20" s="36">
        <f>$B$12</f>
        <v/>
      </c>
      <c r="F20" s="30">
        <f>IF(C20&gt;=$B$12,"🏆 LIVRE","—")</f>
        <v/>
      </c>
    </row>
    <row r="21">
      <c r="A21" s="30" t="n">
        <v>1</v>
      </c>
      <c r="B21" s="30">
        <f>$B$9+A21</f>
        <v/>
      </c>
      <c r="C21" s="36">
        <f>FV((1+$B$8)^(1/12)-1,A21*12,-$B$7,-$B$6)</f>
        <v/>
      </c>
      <c r="D21" s="36">
        <f>C21*$B$5/12</f>
        <v/>
      </c>
      <c r="E21" s="36">
        <f>$B$12</f>
        <v/>
      </c>
      <c r="F21" s="30">
        <f>IF(C21&gt;=$B$12,"🏆 LIVRE","—")</f>
        <v/>
      </c>
    </row>
    <row r="22">
      <c r="A22" s="30" t="n">
        <v>2</v>
      </c>
      <c r="B22" s="30">
        <f>$B$9+A22</f>
        <v/>
      </c>
      <c r="C22" s="36">
        <f>FV((1+$B$8)^(1/12)-1,A22*12,-$B$7,-$B$6)</f>
        <v/>
      </c>
      <c r="D22" s="36">
        <f>C22*$B$5/12</f>
        <v/>
      </c>
      <c r="E22" s="36">
        <f>$B$12</f>
        <v/>
      </c>
      <c r="F22" s="30">
        <f>IF(C22&gt;=$B$12,"🏆 LIVRE","—")</f>
        <v/>
      </c>
    </row>
    <row r="23">
      <c r="A23" s="30" t="n">
        <v>3</v>
      </c>
      <c r="B23" s="30">
        <f>$B$9+A23</f>
        <v/>
      </c>
      <c r="C23" s="36">
        <f>FV((1+$B$8)^(1/12)-1,A23*12,-$B$7,-$B$6)</f>
        <v/>
      </c>
      <c r="D23" s="36">
        <f>C23*$B$5/12</f>
        <v/>
      </c>
      <c r="E23" s="36">
        <f>$B$12</f>
        <v/>
      </c>
      <c r="F23" s="30">
        <f>IF(C23&gt;=$B$12,"🏆 LIVRE","—")</f>
        <v/>
      </c>
    </row>
    <row r="24">
      <c r="A24" s="30" t="n">
        <v>4</v>
      </c>
      <c r="B24" s="30">
        <f>$B$9+A24</f>
        <v/>
      </c>
      <c r="C24" s="36">
        <f>FV((1+$B$8)^(1/12)-1,A24*12,-$B$7,-$B$6)</f>
        <v/>
      </c>
      <c r="D24" s="36">
        <f>C24*$B$5/12</f>
        <v/>
      </c>
      <c r="E24" s="36">
        <f>$B$12</f>
        <v/>
      </c>
      <c r="F24" s="30">
        <f>IF(C24&gt;=$B$12,"🏆 LIVRE","—")</f>
        <v/>
      </c>
    </row>
    <row r="25">
      <c r="A25" s="30" t="n">
        <v>5</v>
      </c>
      <c r="B25" s="30">
        <f>$B$9+A25</f>
        <v/>
      </c>
      <c r="C25" s="36">
        <f>FV((1+$B$8)^(1/12)-1,A25*12,-$B$7,-$B$6)</f>
        <v/>
      </c>
      <c r="D25" s="36">
        <f>C25*$B$5/12</f>
        <v/>
      </c>
      <c r="E25" s="36">
        <f>$B$12</f>
        <v/>
      </c>
      <c r="F25" s="30">
        <f>IF(C25&gt;=$B$12,"🏆 LIVRE","—")</f>
        <v/>
      </c>
    </row>
    <row r="26">
      <c r="A26" s="30" t="n">
        <v>6</v>
      </c>
      <c r="B26" s="30">
        <f>$B$9+A26</f>
        <v/>
      </c>
      <c r="C26" s="36">
        <f>FV((1+$B$8)^(1/12)-1,A26*12,-$B$7,-$B$6)</f>
        <v/>
      </c>
      <c r="D26" s="36">
        <f>C26*$B$5/12</f>
        <v/>
      </c>
      <c r="E26" s="36">
        <f>$B$12</f>
        <v/>
      </c>
      <c r="F26" s="30">
        <f>IF(C26&gt;=$B$12,"🏆 LIVRE","—")</f>
        <v/>
      </c>
    </row>
    <row r="27">
      <c r="A27" s="30" t="n">
        <v>7</v>
      </c>
      <c r="B27" s="30">
        <f>$B$9+A27</f>
        <v/>
      </c>
      <c r="C27" s="36">
        <f>FV((1+$B$8)^(1/12)-1,A27*12,-$B$7,-$B$6)</f>
        <v/>
      </c>
      <c r="D27" s="36">
        <f>C27*$B$5/12</f>
        <v/>
      </c>
      <c r="E27" s="36">
        <f>$B$12</f>
        <v/>
      </c>
      <c r="F27" s="30">
        <f>IF(C27&gt;=$B$12,"🏆 LIVRE","—")</f>
        <v/>
      </c>
    </row>
    <row r="28">
      <c r="A28" s="30" t="n">
        <v>8</v>
      </c>
      <c r="B28" s="30">
        <f>$B$9+A28</f>
        <v/>
      </c>
      <c r="C28" s="36">
        <f>FV((1+$B$8)^(1/12)-1,A28*12,-$B$7,-$B$6)</f>
        <v/>
      </c>
      <c r="D28" s="36">
        <f>C28*$B$5/12</f>
        <v/>
      </c>
      <c r="E28" s="36">
        <f>$B$12</f>
        <v/>
      </c>
      <c r="F28" s="30">
        <f>IF(C28&gt;=$B$12,"🏆 LIVRE","—")</f>
        <v/>
      </c>
    </row>
    <row r="29">
      <c r="A29" s="30" t="n">
        <v>9</v>
      </c>
      <c r="B29" s="30">
        <f>$B$9+A29</f>
        <v/>
      </c>
      <c r="C29" s="36">
        <f>FV((1+$B$8)^(1/12)-1,A29*12,-$B$7,-$B$6)</f>
        <v/>
      </c>
      <c r="D29" s="36">
        <f>C29*$B$5/12</f>
        <v/>
      </c>
      <c r="E29" s="36">
        <f>$B$12</f>
        <v/>
      </c>
      <c r="F29" s="30">
        <f>IF(C29&gt;=$B$12,"🏆 LIVRE","—")</f>
        <v/>
      </c>
    </row>
    <row r="30">
      <c r="A30" s="30" t="n">
        <v>10</v>
      </c>
      <c r="B30" s="30">
        <f>$B$9+A30</f>
        <v/>
      </c>
      <c r="C30" s="36">
        <f>FV((1+$B$8)^(1/12)-1,A30*12,-$B$7,-$B$6)</f>
        <v/>
      </c>
      <c r="D30" s="36">
        <f>C30*$B$5/12</f>
        <v/>
      </c>
      <c r="E30" s="36">
        <f>$B$12</f>
        <v/>
      </c>
      <c r="F30" s="30">
        <f>IF(C30&gt;=$B$12,"🏆 LIVRE","—")</f>
        <v/>
      </c>
    </row>
    <row r="31">
      <c r="A31" s="30" t="n">
        <v>11</v>
      </c>
      <c r="B31" s="30">
        <f>$B$9+A31</f>
        <v/>
      </c>
      <c r="C31" s="36">
        <f>FV((1+$B$8)^(1/12)-1,A31*12,-$B$7,-$B$6)</f>
        <v/>
      </c>
      <c r="D31" s="36">
        <f>C31*$B$5/12</f>
        <v/>
      </c>
      <c r="E31" s="36">
        <f>$B$12</f>
        <v/>
      </c>
      <c r="F31" s="30">
        <f>IF(C31&gt;=$B$12,"🏆 LIVRE","—")</f>
        <v/>
      </c>
    </row>
    <row r="32">
      <c r="A32" s="30" t="n">
        <v>12</v>
      </c>
      <c r="B32" s="30">
        <f>$B$9+A32</f>
        <v/>
      </c>
      <c r="C32" s="36">
        <f>FV((1+$B$8)^(1/12)-1,A32*12,-$B$7,-$B$6)</f>
        <v/>
      </c>
      <c r="D32" s="36">
        <f>C32*$B$5/12</f>
        <v/>
      </c>
      <c r="E32" s="36">
        <f>$B$12</f>
        <v/>
      </c>
      <c r="F32" s="30">
        <f>IF(C32&gt;=$B$12,"🏆 LIVRE","—")</f>
        <v/>
      </c>
    </row>
    <row r="33">
      <c r="A33" s="30" t="n">
        <v>13</v>
      </c>
      <c r="B33" s="30">
        <f>$B$9+A33</f>
        <v/>
      </c>
      <c r="C33" s="36">
        <f>FV((1+$B$8)^(1/12)-1,A33*12,-$B$7,-$B$6)</f>
        <v/>
      </c>
      <c r="D33" s="36">
        <f>C33*$B$5/12</f>
        <v/>
      </c>
      <c r="E33" s="36">
        <f>$B$12</f>
        <v/>
      </c>
      <c r="F33" s="30">
        <f>IF(C33&gt;=$B$12,"🏆 LIVRE","—")</f>
        <v/>
      </c>
    </row>
    <row r="34">
      <c r="A34" s="30" t="n">
        <v>14</v>
      </c>
      <c r="B34" s="30">
        <f>$B$9+A34</f>
        <v/>
      </c>
      <c r="C34" s="36">
        <f>FV((1+$B$8)^(1/12)-1,A34*12,-$B$7,-$B$6)</f>
        <v/>
      </c>
      <c r="D34" s="36">
        <f>C34*$B$5/12</f>
        <v/>
      </c>
      <c r="E34" s="36">
        <f>$B$12</f>
        <v/>
      </c>
      <c r="F34" s="30">
        <f>IF(C34&gt;=$B$12,"🏆 LIVRE","—")</f>
        <v/>
      </c>
    </row>
    <row r="35">
      <c r="A35" s="30" t="n">
        <v>15</v>
      </c>
      <c r="B35" s="30">
        <f>$B$9+A35</f>
        <v/>
      </c>
      <c r="C35" s="36">
        <f>FV((1+$B$8)^(1/12)-1,A35*12,-$B$7,-$B$6)</f>
        <v/>
      </c>
      <c r="D35" s="36">
        <f>C35*$B$5/12</f>
        <v/>
      </c>
      <c r="E35" s="36">
        <f>$B$12</f>
        <v/>
      </c>
      <c r="F35" s="30">
        <f>IF(C35&gt;=$B$12,"🏆 LIVRE","—")</f>
        <v/>
      </c>
    </row>
    <row r="36">
      <c r="A36" s="30" t="n">
        <v>16</v>
      </c>
      <c r="B36" s="30">
        <f>$B$9+A36</f>
        <v/>
      </c>
      <c r="C36" s="36">
        <f>FV((1+$B$8)^(1/12)-1,A36*12,-$B$7,-$B$6)</f>
        <v/>
      </c>
      <c r="D36" s="36">
        <f>C36*$B$5/12</f>
        <v/>
      </c>
      <c r="E36" s="36">
        <f>$B$12</f>
        <v/>
      </c>
      <c r="F36" s="30">
        <f>IF(C36&gt;=$B$12,"🏆 LIVRE","—")</f>
        <v/>
      </c>
    </row>
    <row r="37">
      <c r="A37" s="30" t="n">
        <v>17</v>
      </c>
      <c r="B37" s="30">
        <f>$B$9+A37</f>
        <v/>
      </c>
      <c r="C37" s="36">
        <f>FV((1+$B$8)^(1/12)-1,A37*12,-$B$7,-$B$6)</f>
        <v/>
      </c>
      <c r="D37" s="36">
        <f>C37*$B$5/12</f>
        <v/>
      </c>
      <c r="E37" s="36">
        <f>$B$12</f>
        <v/>
      </c>
      <c r="F37" s="30">
        <f>IF(C37&gt;=$B$12,"🏆 LIVRE","—")</f>
        <v/>
      </c>
    </row>
    <row r="38">
      <c r="A38" s="30" t="n">
        <v>18</v>
      </c>
      <c r="B38" s="30">
        <f>$B$9+A38</f>
        <v/>
      </c>
      <c r="C38" s="36">
        <f>FV((1+$B$8)^(1/12)-1,A38*12,-$B$7,-$B$6)</f>
        <v/>
      </c>
      <c r="D38" s="36">
        <f>C38*$B$5/12</f>
        <v/>
      </c>
      <c r="E38" s="36">
        <f>$B$12</f>
        <v/>
      </c>
      <c r="F38" s="30">
        <f>IF(C38&gt;=$B$12,"🏆 LIVRE","—")</f>
        <v/>
      </c>
    </row>
    <row r="39">
      <c r="A39" s="30" t="n">
        <v>19</v>
      </c>
      <c r="B39" s="30">
        <f>$B$9+A39</f>
        <v/>
      </c>
      <c r="C39" s="36">
        <f>FV((1+$B$8)^(1/12)-1,A39*12,-$B$7,-$B$6)</f>
        <v/>
      </c>
      <c r="D39" s="36">
        <f>C39*$B$5/12</f>
        <v/>
      </c>
      <c r="E39" s="36">
        <f>$B$12</f>
        <v/>
      </c>
      <c r="F39" s="30">
        <f>IF(C39&gt;=$B$12,"🏆 LIVRE","—")</f>
        <v/>
      </c>
    </row>
    <row r="40">
      <c r="A40" s="30" t="n">
        <v>20</v>
      </c>
      <c r="B40" s="30">
        <f>$B$9+A40</f>
        <v/>
      </c>
      <c r="C40" s="36">
        <f>FV((1+$B$8)^(1/12)-1,A40*12,-$B$7,-$B$6)</f>
        <v/>
      </c>
      <c r="D40" s="36">
        <f>C40*$B$5/12</f>
        <v/>
      </c>
      <c r="E40" s="36">
        <f>$B$12</f>
        <v/>
      </c>
      <c r="F40" s="30">
        <f>IF(C40&gt;=$B$12,"🏆 LIVRE","—")</f>
        <v/>
      </c>
    </row>
    <row r="41">
      <c r="A41" s="30" t="n">
        <v>21</v>
      </c>
      <c r="B41" s="30">
        <f>$B$9+A41</f>
        <v/>
      </c>
      <c r="C41" s="36">
        <f>FV((1+$B$8)^(1/12)-1,A41*12,-$B$7,-$B$6)</f>
        <v/>
      </c>
      <c r="D41" s="36">
        <f>C41*$B$5/12</f>
        <v/>
      </c>
      <c r="E41" s="36">
        <f>$B$12</f>
        <v/>
      </c>
      <c r="F41" s="30">
        <f>IF(C41&gt;=$B$12,"🏆 LIVRE","—")</f>
        <v/>
      </c>
    </row>
    <row r="42">
      <c r="A42" s="30" t="n">
        <v>22</v>
      </c>
      <c r="B42" s="30">
        <f>$B$9+A42</f>
        <v/>
      </c>
      <c r="C42" s="36">
        <f>FV((1+$B$8)^(1/12)-1,A42*12,-$B$7,-$B$6)</f>
        <v/>
      </c>
      <c r="D42" s="36">
        <f>C42*$B$5/12</f>
        <v/>
      </c>
      <c r="E42" s="36">
        <f>$B$12</f>
        <v/>
      </c>
      <c r="F42" s="30">
        <f>IF(C42&gt;=$B$12,"🏆 LIVRE","—")</f>
        <v/>
      </c>
    </row>
    <row r="43">
      <c r="A43" s="30" t="n">
        <v>23</v>
      </c>
      <c r="B43" s="30">
        <f>$B$9+A43</f>
        <v/>
      </c>
      <c r="C43" s="36">
        <f>FV((1+$B$8)^(1/12)-1,A43*12,-$B$7,-$B$6)</f>
        <v/>
      </c>
      <c r="D43" s="36">
        <f>C43*$B$5/12</f>
        <v/>
      </c>
      <c r="E43" s="36">
        <f>$B$12</f>
        <v/>
      </c>
      <c r="F43" s="30">
        <f>IF(C43&gt;=$B$12,"🏆 LIVRE","—")</f>
        <v/>
      </c>
    </row>
    <row r="44">
      <c r="A44" s="30" t="n">
        <v>24</v>
      </c>
      <c r="B44" s="30">
        <f>$B$9+A44</f>
        <v/>
      </c>
      <c r="C44" s="36">
        <f>FV((1+$B$8)^(1/12)-1,A44*12,-$B$7,-$B$6)</f>
        <v/>
      </c>
      <c r="D44" s="36">
        <f>C44*$B$5/12</f>
        <v/>
      </c>
      <c r="E44" s="36">
        <f>$B$12</f>
        <v/>
      </c>
      <c r="F44" s="30">
        <f>IF(C44&gt;=$B$12,"🏆 LIVRE","—")</f>
        <v/>
      </c>
    </row>
    <row r="45">
      <c r="A45" s="30" t="n">
        <v>25</v>
      </c>
      <c r="B45" s="30">
        <f>$B$9+A45</f>
        <v/>
      </c>
      <c r="C45" s="36">
        <f>FV((1+$B$8)^(1/12)-1,A45*12,-$B$7,-$B$6)</f>
        <v/>
      </c>
      <c r="D45" s="36">
        <f>C45*$B$5/12</f>
        <v/>
      </c>
      <c r="E45" s="36">
        <f>$B$12</f>
        <v/>
      </c>
      <c r="F45" s="30">
        <f>IF(C45&gt;=$B$12,"🏆 LIVRE","—")</f>
        <v/>
      </c>
    </row>
    <row r="46">
      <c r="A46" s="30" t="n">
        <v>26</v>
      </c>
      <c r="B46" s="30">
        <f>$B$9+A46</f>
        <v/>
      </c>
      <c r="C46" s="36">
        <f>FV((1+$B$8)^(1/12)-1,A46*12,-$B$7,-$B$6)</f>
        <v/>
      </c>
      <c r="D46" s="36">
        <f>C46*$B$5/12</f>
        <v/>
      </c>
      <c r="E46" s="36">
        <f>$B$12</f>
        <v/>
      </c>
      <c r="F46" s="30">
        <f>IF(C46&gt;=$B$12,"🏆 LIVRE","—")</f>
        <v/>
      </c>
    </row>
    <row r="47">
      <c r="A47" s="30" t="n">
        <v>27</v>
      </c>
      <c r="B47" s="30">
        <f>$B$9+A47</f>
        <v/>
      </c>
      <c r="C47" s="36">
        <f>FV((1+$B$8)^(1/12)-1,A47*12,-$B$7,-$B$6)</f>
        <v/>
      </c>
      <c r="D47" s="36">
        <f>C47*$B$5/12</f>
        <v/>
      </c>
      <c r="E47" s="36">
        <f>$B$12</f>
        <v/>
      </c>
      <c r="F47" s="30">
        <f>IF(C47&gt;=$B$12,"🏆 LIVRE","—")</f>
        <v/>
      </c>
    </row>
    <row r="48">
      <c r="A48" s="30" t="n">
        <v>28</v>
      </c>
      <c r="B48" s="30">
        <f>$B$9+A48</f>
        <v/>
      </c>
      <c r="C48" s="36">
        <f>FV((1+$B$8)^(1/12)-1,A48*12,-$B$7,-$B$6)</f>
        <v/>
      </c>
      <c r="D48" s="36">
        <f>C48*$B$5/12</f>
        <v/>
      </c>
      <c r="E48" s="36">
        <f>$B$12</f>
        <v/>
      </c>
      <c r="F48" s="30">
        <f>IF(C48&gt;=$B$12,"🏆 LIVRE","—")</f>
        <v/>
      </c>
    </row>
    <row r="49">
      <c r="A49" s="30" t="n">
        <v>29</v>
      </c>
      <c r="B49" s="30">
        <f>$B$9+A49</f>
        <v/>
      </c>
      <c r="C49" s="36">
        <f>FV((1+$B$8)^(1/12)-1,A49*12,-$B$7,-$B$6)</f>
        <v/>
      </c>
      <c r="D49" s="36">
        <f>C49*$B$5/12</f>
        <v/>
      </c>
      <c r="E49" s="36">
        <f>$B$12</f>
        <v/>
      </c>
      <c r="F49" s="30">
        <f>IF(C49&gt;=$B$12,"🏆 LIVRE","—")</f>
        <v/>
      </c>
    </row>
    <row r="50">
      <c r="A50" s="30" t="n">
        <v>30</v>
      </c>
      <c r="B50" s="30">
        <f>$B$9+A50</f>
        <v/>
      </c>
      <c r="C50" s="36">
        <f>FV((1+$B$8)^(1/12)-1,A50*12,-$B$7,-$B$6)</f>
        <v/>
      </c>
      <c r="D50" s="36">
        <f>C50*$B$5/12</f>
        <v/>
      </c>
      <c r="E50" s="36">
        <f>$B$12</f>
        <v/>
      </c>
      <c r="F50" s="30">
        <f>IF(C50&gt;=$B$12,"🏆 LIVRE","—")</f>
        <v/>
      </c>
    </row>
    <row r="51">
      <c r="A51" s="30" t="n">
        <v>31</v>
      </c>
      <c r="B51" s="30">
        <f>$B$9+A51</f>
        <v/>
      </c>
      <c r="C51" s="36">
        <f>FV((1+$B$8)^(1/12)-1,A51*12,-$B$7,-$B$6)</f>
        <v/>
      </c>
      <c r="D51" s="36">
        <f>C51*$B$5/12</f>
        <v/>
      </c>
      <c r="E51" s="36">
        <f>$B$12</f>
        <v/>
      </c>
      <c r="F51" s="30">
        <f>IF(C51&gt;=$B$12,"🏆 LIVRE","—")</f>
        <v/>
      </c>
    </row>
    <row r="52">
      <c r="A52" s="30" t="n">
        <v>32</v>
      </c>
      <c r="B52" s="30">
        <f>$B$9+A52</f>
        <v/>
      </c>
      <c r="C52" s="36">
        <f>FV((1+$B$8)^(1/12)-1,A52*12,-$B$7,-$B$6)</f>
        <v/>
      </c>
      <c r="D52" s="36">
        <f>C52*$B$5/12</f>
        <v/>
      </c>
      <c r="E52" s="36">
        <f>$B$12</f>
        <v/>
      </c>
      <c r="F52" s="30">
        <f>IF(C52&gt;=$B$12,"🏆 LIVRE","—")</f>
        <v/>
      </c>
    </row>
    <row r="53">
      <c r="A53" s="30" t="n">
        <v>33</v>
      </c>
      <c r="B53" s="30">
        <f>$B$9+A53</f>
        <v/>
      </c>
      <c r="C53" s="36">
        <f>FV((1+$B$8)^(1/12)-1,A53*12,-$B$7,-$B$6)</f>
        <v/>
      </c>
      <c r="D53" s="36">
        <f>C53*$B$5/12</f>
        <v/>
      </c>
      <c r="E53" s="36">
        <f>$B$12</f>
        <v/>
      </c>
      <c r="F53" s="30">
        <f>IF(C53&gt;=$B$12,"🏆 LIVRE","—")</f>
        <v/>
      </c>
    </row>
    <row r="54">
      <c r="A54" s="30" t="n">
        <v>34</v>
      </c>
      <c r="B54" s="30">
        <f>$B$9+A54</f>
        <v/>
      </c>
      <c r="C54" s="36">
        <f>FV((1+$B$8)^(1/12)-1,A54*12,-$B$7,-$B$6)</f>
        <v/>
      </c>
      <c r="D54" s="36">
        <f>C54*$B$5/12</f>
        <v/>
      </c>
      <c r="E54" s="36">
        <f>$B$12</f>
        <v/>
      </c>
      <c r="F54" s="30">
        <f>IF(C54&gt;=$B$12,"🏆 LIVRE","—")</f>
        <v/>
      </c>
    </row>
    <row r="55">
      <c r="A55" s="30" t="n">
        <v>35</v>
      </c>
      <c r="B55" s="30">
        <f>$B$9+A55</f>
        <v/>
      </c>
      <c r="C55" s="36">
        <f>FV((1+$B$8)^(1/12)-1,A55*12,-$B$7,-$B$6)</f>
        <v/>
      </c>
      <c r="D55" s="36">
        <f>C55*$B$5/12</f>
        <v/>
      </c>
      <c r="E55" s="36">
        <f>$B$12</f>
        <v/>
      </c>
      <c r="F55" s="30">
        <f>IF(C55&gt;=$B$12,"🏆 LIVRE","—")</f>
        <v/>
      </c>
    </row>
    <row r="56">
      <c r="A56" s="30" t="n">
        <v>36</v>
      </c>
      <c r="B56" s="30">
        <f>$B$9+A56</f>
        <v/>
      </c>
      <c r="C56" s="36">
        <f>FV((1+$B$8)^(1/12)-1,A56*12,-$B$7,-$B$6)</f>
        <v/>
      </c>
      <c r="D56" s="36">
        <f>C56*$B$5/12</f>
        <v/>
      </c>
      <c r="E56" s="36">
        <f>$B$12</f>
        <v/>
      </c>
      <c r="F56" s="30">
        <f>IF(C56&gt;=$B$12,"🏆 LIVRE","—")</f>
        <v/>
      </c>
    </row>
    <row r="57">
      <c r="A57" s="30" t="n">
        <v>37</v>
      </c>
      <c r="B57" s="30">
        <f>$B$9+A57</f>
        <v/>
      </c>
      <c r="C57" s="36">
        <f>FV((1+$B$8)^(1/12)-1,A57*12,-$B$7,-$B$6)</f>
        <v/>
      </c>
      <c r="D57" s="36">
        <f>C57*$B$5/12</f>
        <v/>
      </c>
      <c r="E57" s="36">
        <f>$B$12</f>
        <v/>
      </c>
      <c r="F57" s="30">
        <f>IF(C57&gt;=$B$12,"🏆 LIVRE","—")</f>
        <v/>
      </c>
    </row>
    <row r="58">
      <c r="A58" s="30" t="n">
        <v>38</v>
      </c>
      <c r="B58" s="30">
        <f>$B$9+A58</f>
        <v/>
      </c>
      <c r="C58" s="36">
        <f>FV((1+$B$8)^(1/12)-1,A58*12,-$B$7,-$B$6)</f>
        <v/>
      </c>
      <c r="D58" s="36">
        <f>C58*$B$5/12</f>
        <v/>
      </c>
      <c r="E58" s="36">
        <f>$B$12</f>
        <v/>
      </c>
      <c r="F58" s="30">
        <f>IF(C58&gt;=$B$12,"🏆 LIVRE","—")</f>
        <v/>
      </c>
    </row>
    <row r="59">
      <c r="A59" s="30" t="n">
        <v>39</v>
      </c>
      <c r="B59" s="30">
        <f>$B$9+A59</f>
        <v/>
      </c>
      <c r="C59" s="36">
        <f>FV((1+$B$8)^(1/12)-1,A59*12,-$B$7,-$B$6)</f>
        <v/>
      </c>
      <c r="D59" s="36">
        <f>C59*$B$5/12</f>
        <v/>
      </c>
      <c r="E59" s="36">
        <f>$B$12</f>
        <v/>
      </c>
      <c r="F59" s="30">
        <f>IF(C59&gt;=$B$12,"🏆 LIVRE","—")</f>
        <v/>
      </c>
    </row>
    <row r="60">
      <c r="A60" s="30" t="n">
        <v>40</v>
      </c>
      <c r="B60" s="30">
        <f>$B$9+A60</f>
        <v/>
      </c>
      <c r="C60" s="36">
        <f>FV((1+$B$8)^(1/12)-1,A60*12,-$B$7,-$B$6)</f>
        <v/>
      </c>
      <c r="D60" s="36">
        <f>C60*$B$5/12</f>
        <v/>
      </c>
      <c r="E60" s="36">
        <f>$B$12</f>
        <v/>
      </c>
      <c r="F60" s="30">
        <f>IF(C60&gt;=$B$12,"🏆 LIVRE","—")</f>
        <v/>
      </c>
    </row>
  </sheetData>
  <mergeCells count="4">
    <mergeCell ref="A3:B3"/>
    <mergeCell ref="A11:B11"/>
    <mergeCell ref="D11:F11"/>
    <mergeCell ref="A1:H1"/>
  </mergeCells>
  <conditionalFormatting sqref="B14">
    <cfRule type="dataBar" priority="1">
      <dataBar>
        <cfvo type="num" val="0"/>
        <cfvo type="num" val="1"/>
        <color rgb="001E8E5A"/>
      </dataBar>
    </cfRule>
  </conditionalFormatting>
  <conditionalFormatting sqref="F12:F15">
    <cfRule type="cellIs" priority="2" operator="equal" dxfId="0">
      <formula>"✔ Atingido"</formula>
    </cfRule>
  </conditionalFormatting>
  <conditionalFormatting sqref="A20:F60">
    <cfRule type="expression" priority="3" dxfId="6">
      <formula>$F20="🏆 LIVRE"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9CA3AF"/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 ht="30" customHeight="1">
      <c r="A1" s="1" t="inlineStr">
        <is>
          <t>📖 COMO USAR ESTA PLANILHA</t>
        </is>
      </c>
    </row>
    <row r="3">
      <c r="A3" s="73" t="inlineStr">
        <is>
          <t>VISÃO GERAL</t>
        </is>
      </c>
    </row>
    <row r="4" ht="30" customHeight="1">
      <c r="B4" s="74" t="inlineStr">
        <is>
          <t>Esta planilha reúne 5 ferramentas: controle financeiro (Lancamentos), orçamento doméstico (Orcamento), carteira de investimentos (Carteira), simulador de juros compostos (Simulador) e calculadora de independência financeira (Independencia). O Dashboard resume tudo automaticamente.</t>
        </is>
      </c>
    </row>
    <row r="5" ht="30" customHeight="1">
      <c r="B5" s="74" t="inlineStr">
        <is>
          <t>Regra de ouro: você só edita células AMARELAS e a aba Lancamentos. Todo o resto se calcula sozinho.</t>
        </is>
      </c>
    </row>
    <row r="7">
      <c r="A7" s="73" t="inlineStr">
        <is>
          <t>1) LANCAMENTOS — o coração da planilha</t>
        </is>
      </c>
    </row>
    <row r="8" ht="30" customHeight="1">
      <c r="B8" s="74" t="inlineStr">
        <is>
          <t>Registre cada movimentação: Data, Tipo (Receita / Despesa / Investimento), Categoria, Descrição, Valor e Forma de Pagamento. Os menus suspensos evitam erros de digitação.</t>
        </is>
      </c>
    </row>
    <row r="9" ht="30" customHeight="1">
      <c r="B9" s="74" t="inlineStr">
        <is>
          <t>Use o tipo 'Investimento' para aportes (dinheiro que saiu da conta mas virou patrimônio). Assim ele não conta como despesa e sua taxa de poupança fica correta.</t>
        </is>
      </c>
    </row>
    <row r="10" ht="30" customHeight="1">
      <c r="B10" s="74" t="inlineStr">
        <is>
          <t>A planilha vem com 6 meses de exemplo (jan–jun/2026). Apague as linhas de exemplo e comece a registrar os seus dados.</t>
        </is>
      </c>
    </row>
    <row r="12">
      <c r="A12" s="73" t="inlineStr">
        <is>
          <t>2) ORCAMENTO — planejado × realizado</t>
        </is>
      </c>
    </row>
    <row r="13" ht="30" customHeight="1">
      <c r="B13" s="74" t="inlineStr">
        <is>
          <t>Defina na coluna B quanto pretende gastar por mês em cada categoria. Os valores realizados vêm sozinhos dos lançamentos. Célula vermelha = orçamento estourado naquele mês.</t>
        </is>
      </c>
    </row>
    <row r="14" ht="30" customHeight="1">
      <c r="B14" s="74" t="inlineStr">
        <is>
          <t>Acompanhe as linhas SALDO DO MÊS e TAXA DE POUPANÇA: poupar 20% ou mais da renda é uma excelente referência.</t>
        </is>
      </c>
    </row>
    <row r="16">
      <c r="A16" s="73" t="inlineStr">
        <is>
          <t>3) CARTEIRA — seus investimentos</t>
        </is>
      </c>
    </row>
    <row r="17" ht="30" customHeight="1">
      <c r="B17" s="74" t="inlineStr">
        <is>
          <t>Cadastre cada ativo com quantidade, preço médio e dividendos recebidos. Atualize o Preço Atual periodicamente (ex.: 1× por semana) e veja resultado, rentabilidade e composição da carteira.</t>
        </is>
      </c>
    </row>
    <row r="18" ht="30" customHeight="1">
      <c r="B18" s="74" t="inlineStr">
        <is>
          <t>Os ativos pré-cadastrados são apenas EXEMPLOS — substitua pelos seus. Há 10 linhas extras prontas para novos ativos.</t>
        </is>
      </c>
    </row>
    <row r="20">
      <c r="A20" s="73" t="inlineStr">
        <is>
          <t>4) SIMULADOR — o poder dos juros compostos</t>
        </is>
      </c>
    </row>
    <row r="21" ht="30" customHeight="1">
      <c r="B21" s="74" t="inlineStr">
        <is>
          <t>Informe aporte inicial, aporte mensal e prazo. Compare 3 cenários de rentabilidade (taxas editáveis) e veja quanto do resultado final veio de juros — não do seu bolso.</t>
        </is>
      </c>
    </row>
    <row r="23">
      <c r="A23" s="73" t="inlineStr">
        <is>
          <t>5) INDEPENDENCIA — sua liberdade tem um número</t>
        </is>
      </c>
    </row>
    <row r="24" ht="30" customHeight="1">
      <c r="B24" s="74" t="inlineStr">
        <is>
          <t>Número FIRE = custo de vida anual ÷ taxa de retirada segura (padrão 4%). A planilha calcula em quantos anos você chega lá com seus aportes atuais, sua idade na independência e mostra a trajetória ano a ano no gráfico.</t>
        </is>
      </c>
    </row>
    <row r="25" ht="30" customHeight="1">
      <c r="B25" s="74" t="inlineStr">
        <is>
          <t>Use o RETORNO REAL (acima da inflação) — 6% a 8% a.a. é uma faixa razoável para carteiras diversificadas.</t>
        </is>
      </c>
    </row>
    <row r="27">
      <c r="A27" s="73" t="inlineStr">
        <is>
          <t>DICAS PARA EXTRAIR O MÁXIMO</t>
        </is>
      </c>
    </row>
    <row r="28" ht="30" customHeight="1">
      <c r="B28" s="74" t="inlineStr">
        <is>
          <t>• Reserve 10 minutos por semana para lançar gastos e atualizar preços — consistência vale mais que perfeição.</t>
        </is>
      </c>
    </row>
    <row r="29" ht="30" customHeight="1">
      <c r="B29" s="74" t="inlineStr">
        <is>
          <t>• Antes de investir, monte a reserva de emergência (6× o custo de vida — o valor está calculado na aba Independencia).</t>
        </is>
      </c>
    </row>
    <row r="30" ht="30" customHeight="1">
      <c r="B30" s="74" t="inlineStr">
        <is>
          <t>• Revise o orçamento todo início de mês e ajuste as metas da coluna B.</t>
        </is>
      </c>
    </row>
    <row r="31" ht="30" customHeight="1">
      <c r="B31" s="74" t="inlineStr">
        <is>
          <t>• As linhas de exemplo existem para você ver as fórmulas funcionando. Substitua tudo pelos seus dados reais.</t>
        </is>
      </c>
    </row>
  </sheetData>
  <mergeCells count="8">
    <mergeCell ref="A20:B20"/>
    <mergeCell ref="A16:B16"/>
    <mergeCell ref="A7:B7"/>
    <mergeCell ref="A1:B1"/>
    <mergeCell ref="A23:B23"/>
    <mergeCell ref="A27:B27"/>
    <mergeCell ref="A3:B3"/>
    <mergeCell ref="A12:B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3" max="3"/>
    <col width="22" customWidth="1" min="5" max="5"/>
    <col width="26" customWidth="1" min="7" max="7"/>
    <col width="22" customWidth="1" min="9" max="9"/>
  </cols>
  <sheetData>
    <row r="1">
      <c r="A1" s="75" t="inlineStr">
        <is>
          <t>CATEGORIAS DE DESPESA</t>
        </is>
      </c>
      <c r="C1" s="75" t="inlineStr">
        <is>
          <t>CATEGORIAS DE RECEITA</t>
        </is>
      </c>
      <c r="E1" s="75" t="inlineStr">
        <is>
          <t>TIPOS DE LANÇAMENTO</t>
        </is>
      </c>
      <c r="G1" s="75" t="inlineStr">
        <is>
          <t>TODAS AS CATEGORIAS</t>
        </is>
      </c>
      <c r="I1" s="75" t="inlineStr">
        <is>
          <t>FORMAS DE PAGAMENTO</t>
        </is>
      </c>
    </row>
    <row r="2">
      <c r="A2" t="inlineStr">
        <is>
          <t>Moradia</t>
        </is>
      </c>
      <c r="C2" t="inlineStr">
        <is>
          <t>Salário</t>
        </is>
      </c>
      <c r="E2" t="inlineStr">
        <is>
          <t>Receita</t>
        </is>
      </c>
      <c r="G2" t="inlineStr">
        <is>
          <t>Moradia</t>
        </is>
      </c>
      <c r="I2" t="inlineStr">
        <is>
          <t>Pix</t>
        </is>
      </c>
    </row>
    <row r="3">
      <c r="A3" t="inlineStr">
        <is>
          <t>Alimentação</t>
        </is>
      </c>
      <c r="C3" t="inlineStr">
        <is>
          <t>Freelance / Renda Extra</t>
        </is>
      </c>
      <c r="E3" t="inlineStr">
        <is>
          <t>Despesa</t>
        </is>
      </c>
      <c r="G3" t="inlineStr">
        <is>
          <t>Alimentação</t>
        </is>
      </c>
      <c r="I3" t="inlineStr">
        <is>
          <t>Dinheiro</t>
        </is>
      </c>
    </row>
    <row r="4">
      <c r="A4" t="inlineStr">
        <is>
          <t>Transporte</t>
        </is>
      </c>
      <c r="C4" t="inlineStr">
        <is>
          <t>Dividendos e Proventos</t>
        </is>
      </c>
      <c r="E4" t="inlineStr">
        <is>
          <t>Investimento</t>
        </is>
      </c>
      <c r="G4" t="inlineStr">
        <is>
          <t>Transporte</t>
        </is>
      </c>
      <c r="I4" t="inlineStr">
        <is>
          <t>Cartão de Crédito</t>
        </is>
      </c>
    </row>
    <row r="5">
      <c r="A5" t="inlineStr">
        <is>
          <t>Saúde</t>
        </is>
      </c>
      <c r="C5" t="inlineStr">
        <is>
          <t>Aluguéis</t>
        </is>
      </c>
      <c r="G5" t="inlineStr">
        <is>
          <t>Saúde</t>
        </is>
      </c>
      <c r="I5" t="inlineStr">
        <is>
          <t>Cartão de Débito</t>
        </is>
      </c>
    </row>
    <row r="6">
      <c r="A6" t="inlineStr">
        <is>
          <t>Educação</t>
        </is>
      </c>
      <c r="C6" t="inlineStr">
        <is>
          <t>Reembolsos</t>
        </is>
      </c>
      <c r="G6" t="inlineStr">
        <is>
          <t>Educação</t>
        </is>
      </c>
      <c r="I6" t="inlineStr">
        <is>
          <t>Boleto</t>
        </is>
      </c>
    </row>
    <row r="7">
      <c r="A7" t="inlineStr">
        <is>
          <t>Lazer</t>
        </is>
      </c>
      <c r="C7" t="inlineStr">
        <is>
          <t>Outras Receitas</t>
        </is>
      </c>
      <c r="G7" t="inlineStr">
        <is>
          <t>Lazer</t>
        </is>
      </c>
      <c r="I7" t="inlineStr">
        <is>
          <t>Transferência</t>
        </is>
      </c>
    </row>
    <row r="8">
      <c r="A8" t="inlineStr">
        <is>
          <t>Vestuário</t>
        </is>
      </c>
      <c r="G8" t="inlineStr">
        <is>
          <t>Vestuário</t>
        </is>
      </c>
      <c r="I8" t="inlineStr">
        <is>
          <t>Débito Automático</t>
        </is>
      </c>
    </row>
    <row r="9">
      <c r="A9" t="inlineStr">
        <is>
          <t>Assinaturas e Serviços</t>
        </is>
      </c>
      <c r="G9" t="inlineStr">
        <is>
          <t>Assinaturas e Serviços</t>
        </is>
      </c>
    </row>
    <row r="10">
      <c r="A10" t="inlineStr">
        <is>
          <t>Dívidas e Empréstimos</t>
        </is>
      </c>
      <c r="G10" t="inlineStr">
        <is>
          <t>Dívidas e Empréstimos</t>
        </is>
      </c>
    </row>
    <row r="11">
      <c r="A11" t="inlineStr">
        <is>
          <t>Pets</t>
        </is>
      </c>
      <c r="G11" t="inlineStr">
        <is>
          <t>Pets</t>
        </is>
      </c>
    </row>
    <row r="12">
      <c r="A12" t="inlineStr">
        <is>
          <t>Doações</t>
        </is>
      </c>
      <c r="G12" t="inlineStr">
        <is>
          <t>Doações</t>
        </is>
      </c>
    </row>
    <row r="13">
      <c r="A13" t="inlineStr">
        <is>
          <t>Outros</t>
        </is>
      </c>
      <c r="G13" t="inlineStr">
        <is>
          <t>Outros</t>
        </is>
      </c>
    </row>
    <row r="14">
      <c r="G14" t="inlineStr">
        <is>
          <t>Salário</t>
        </is>
      </c>
    </row>
    <row r="15">
      <c r="G15" t="inlineStr">
        <is>
          <t>Freelance / Renda Extra</t>
        </is>
      </c>
    </row>
    <row r="16">
      <c r="G16" t="inlineStr">
        <is>
          <t>Dividendos e Proventos</t>
        </is>
      </c>
    </row>
    <row r="17">
      <c r="G17" t="inlineStr">
        <is>
          <t>Aluguéis</t>
        </is>
      </c>
    </row>
    <row r="18">
      <c r="G18" t="inlineStr">
        <is>
          <t>Reembolsos</t>
        </is>
      </c>
    </row>
    <row r="19">
      <c r="G19" t="inlineStr">
        <is>
          <t>Outras Receitas</t>
        </is>
      </c>
    </row>
    <row r="20">
      <c r="G20" t="inlineStr">
        <is>
          <t>Aporte Investimentos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2026-06-13T01:47:36Z</dcterms:created>
  <dcterms:modified xsi:type="dcterms:W3CDTF">2026-06-13T01:47:36Z</dcterms:modified>
</cp:coreProperties>
</file>