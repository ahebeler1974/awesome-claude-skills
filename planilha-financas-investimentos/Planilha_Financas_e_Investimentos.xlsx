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Dashboard" sheetId="2" state="visible" r:id="rId2"/>
    <sheet name="Lancamentos" sheetId="3" state="visible" r:id="rId3"/>
    <sheet name="Orcamento" sheetId="4" state="visible" r:id="rId4"/>
    <sheet name="Carteira" sheetId="5" state="visible" r:id="rId5"/>
    <sheet name="Patrimonio" sheetId="6" state="visible" r:id="rId6"/>
    <sheet name="Simulador" sheetId="7" state="visible" r:id="rId7"/>
    <sheet name="Independencia" sheetId="8" state="visible" r:id="rId8"/>
    <sheet name="Metas" sheetId="9" state="visible" r:id="rId9"/>
    <sheet name="Instrucoes" sheetId="10" state="visible" r:id="rId10"/>
    <sheet name="Config" sheetId="11" state="visible" r:id="rId11"/>
  </sheets>
  <definedNames>
    <definedName name="_xlnm._FilterDatabase" localSheetId="2" hidden="1">'Lancamentos'!$A$4:$H$504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&quot;R$&quot; #,##0.00"/>
    <numFmt numFmtId="167" formatCode="&quot;R$&quot; #,##0"/>
    <numFmt numFmtId="168" formatCode="0.0%"/>
    <numFmt numFmtId="169" formatCode="0.0"/>
  </numFmts>
  <fonts count="30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9"/>
      <u val="single"/>
    </font>
    <font>
      <name val="Calibri"/>
      <b val="1"/>
      <color rgb="00FFFFFF"/>
      <sz val="18"/>
    </font>
    <font>
      <i val="1"/>
      <color rgb="0064748B"/>
      <sz val="9"/>
    </font>
    <font>
      <b val="1"/>
      <color rgb="00FFFFFF"/>
      <sz val="10"/>
    </font>
    <font>
      <sz val="10"/>
    </font>
    <font>
      <b val="1"/>
      <color rgb="003A2E00"/>
      <sz val="11"/>
    </font>
    <font>
      <b val="1"/>
      <color rgb="00188A5B"/>
      <sz val="11"/>
    </font>
    <font>
      <b val="1"/>
      <color rgb="003A2E00"/>
      <sz val="10"/>
    </font>
    <font>
      <b val="1"/>
      <sz val="10"/>
    </font>
    <font>
      <b val="1"/>
      <sz val="11"/>
    </font>
    <font>
      <b val="1"/>
      <color rgb="006D28D9"/>
      <sz val="11"/>
    </font>
    <font>
      <b val="1"/>
      <color rgb="000E7C7B"/>
      <sz val="11"/>
    </font>
    <font>
      <b val="1"/>
      <color rgb="000E7C7B"/>
      <sz val="10"/>
    </font>
    <font>
      <b val="1"/>
      <color rgb="00334155"/>
      <sz val="11"/>
    </font>
    <font>
      <b val="1"/>
      <color rgb="00334155"/>
      <sz val="12"/>
    </font>
    <font>
      <b val="1"/>
      <color rgb="00334155"/>
      <sz val="9"/>
    </font>
    <font>
      <b val="1"/>
      <color rgb="00B7791F"/>
      <sz val="11"/>
    </font>
    <font>
      <b val="1"/>
      <color rgb="00B7791F"/>
      <sz val="12"/>
    </font>
    <font>
      <name val="Calibri"/>
      <b val="1"/>
      <color rgb="00FFFFFF"/>
      <sz val="20"/>
    </font>
    <font>
      <b val="1"/>
      <color rgb="00FFFFFF"/>
      <sz val="17"/>
    </font>
    <font>
      <b val="1"/>
      <color rgb="0016243A"/>
      <sz val="11"/>
    </font>
    <font>
      <b val="1"/>
      <color rgb="00334155"/>
      <sz val="10"/>
    </font>
    <font>
      <name val="Calibri"/>
      <b val="1"/>
      <color rgb="00FFFFFF"/>
      <sz val="22"/>
    </font>
    <font>
      <i val="1"/>
      <color rgb="0064748B"/>
      <sz val="11"/>
    </font>
    <font>
      <b val="1"/>
      <color rgb="00FFFFFF"/>
      <sz val="8.5"/>
    </font>
    <font>
      <b val="1"/>
      <color rgb="00FFFFFF"/>
      <sz val="15"/>
    </font>
    <font>
      <b val="1"/>
      <color rgb="00FFFFFF"/>
      <sz val="12"/>
      <u val="single"/>
    </font>
    <font>
      <color rgb="00334155"/>
      <sz val="9"/>
    </font>
  </fonts>
  <fills count="21">
    <fill>
      <patternFill/>
    </fill>
    <fill>
      <patternFill patternType="gray125"/>
    </fill>
    <fill>
      <patternFill patternType="solid">
        <fgColor rgb="0026354F"/>
      </patternFill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EEF2F7"/>
      </patternFill>
    </fill>
    <fill>
      <patternFill patternType="solid">
        <fgColor rgb="00D97706"/>
      </patternFill>
    </fill>
    <fill>
      <patternFill patternType="solid">
        <fgColor rgb="00FFF1C2"/>
      </patternFill>
    </fill>
    <fill>
      <patternFill patternType="solid">
        <fgColor rgb="00E2F4EC"/>
      </patternFill>
    </fill>
    <fill>
      <patternFill patternType="solid">
        <fgColor rgb="00C0392B"/>
      </patternFill>
    </fill>
    <fill>
      <patternFill patternType="solid">
        <fgColor rgb="00188A5B"/>
      </patternFill>
    </fill>
    <fill>
      <patternFill patternType="solid">
        <fgColor rgb="0016243A"/>
      </patternFill>
    </fill>
    <fill>
      <patternFill patternType="solid">
        <fgColor rgb="000E7C7B"/>
      </patternFill>
    </fill>
    <fill>
      <patternFill patternType="solid">
        <fgColor rgb="006D28D9"/>
      </patternFill>
    </fill>
    <fill>
      <patternFill patternType="solid">
        <fgColor rgb="00EDE6FB"/>
      </patternFill>
    </fill>
    <fill>
      <patternFill patternType="solid">
        <fgColor rgb="00DEF1F1"/>
      </patternFill>
    </fill>
    <fill>
      <patternFill patternType="solid">
        <fgColor rgb="00334155"/>
      </patternFill>
    </fill>
    <fill>
      <patternFill patternType="solid">
        <fgColor rgb="00F1F3F6"/>
      </patternFill>
    </fill>
    <fill>
      <patternFill patternType="solid">
        <fgColor rgb="00B7791F"/>
      </patternFill>
    </fill>
    <fill>
      <patternFill patternType="solid">
        <fgColor rgb="0094A3B8"/>
      </patternFill>
    </fill>
    <fill>
      <patternFill patternType="solid">
        <fgColor rgb="00FBF1DC"/>
      </patternFill>
    </fill>
  </fills>
  <borders count="3">
    <border>
      <left/>
      <right/>
      <top/>
      <bottom/>
      <diagonal/>
    </border>
    <border>
      <left style="thin">
        <color rgb="00D6DBE3"/>
      </left>
      <right style="thin">
        <color rgb="00D6DBE3"/>
      </right>
      <top style="thin">
        <color rgb="00D6DBE3"/>
      </top>
      <bottom style="thin">
        <color rgb="00D6DBE3"/>
      </bottom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4" fillId="11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2" fillId="17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6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26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26" fillId="12" borderId="0" applyAlignment="1" pivotButton="0" quotePrefix="0" xfId="0">
      <alignment horizontal="center" vertical="center"/>
    </xf>
    <xf numFmtId="0" fontId="0" fillId="12" borderId="0" pivotButton="0" quotePrefix="0" xfId="0"/>
    <xf numFmtId="167" fontId="27" fillId="2" borderId="0" applyAlignment="1" pivotButton="0" quotePrefix="0" xfId="0">
      <alignment horizontal="center" vertical="center"/>
    </xf>
    <xf numFmtId="167" fontId="27" fillId="10" borderId="0" applyAlignment="1" pivotButton="0" quotePrefix="0" xfId="0">
      <alignment horizontal="center" vertical="center"/>
    </xf>
    <xf numFmtId="167" fontId="27" fillId="9" borderId="0" applyAlignment="1" pivotButton="0" quotePrefix="0" xfId="0">
      <alignment horizontal="center" vertical="center"/>
    </xf>
    <xf numFmtId="168" fontId="27" fillId="12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26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2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26" fillId="3" borderId="0" applyAlignment="1" pivotButton="0" quotePrefix="0" xfId="0">
      <alignment horizontal="center" vertical="center"/>
    </xf>
    <xf numFmtId="0" fontId="0" fillId="3" borderId="0" pivotButton="0" quotePrefix="0" xfId="0"/>
    <xf numFmtId="167" fontId="27" fillId="13" borderId="0" applyAlignment="1" pivotButton="0" quotePrefix="0" xfId="0">
      <alignment horizontal="center" vertical="center"/>
    </xf>
    <xf numFmtId="168" fontId="27" fillId="18" borderId="0" applyAlignment="1" pivotButton="0" quotePrefix="0" xfId="0">
      <alignment horizontal="center" vertical="center"/>
    </xf>
    <xf numFmtId="167" fontId="27" fillId="6" borderId="0" applyAlignment="1" pivotButton="0" quotePrefix="0" xfId="0">
      <alignment horizontal="center" vertical="center"/>
    </xf>
    <xf numFmtId="168" fontId="27" fillId="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 indent="1"/>
    </xf>
    <xf numFmtId="0" fontId="28" fillId="3" borderId="0" applyAlignment="1" pivotButton="0" quotePrefix="0" xfId="0">
      <alignment horizontal="left" vertical="center" indent="1"/>
    </xf>
    <xf numFmtId="0" fontId="29" fillId="17" borderId="0" applyAlignment="1" pivotButton="0" quotePrefix="0" xfId="0">
      <alignment horizontal="left" vertical="center" indent="1"/>
    </xf>
    <xf numFmtId="0" fontId="0" fillId="17" borderId="0" pivotButton="0" quotePrefix="0" xfId="0"/>
    <xf numFmtId="0" fontId="28" fillId="6" borderId="0" applyAlignment="1" pivotButton="0" quotePrefix="0" xfId="0">
      <alignment horizontal="left" vertical="center" indent="1"/>
    </xf>
    <xf numFmtId="0" fontId="28" fillId="13" borderId="0" applyAlignment="1" pivotButton="0" quotePrefix="0" xfId="0">
      <alignment horizontal="left" vertical="center" indent="1"/>
    </xf>
    <xf numFmtId="0" fontId="28" fillId="12" borderId="0" applyAlignment="1" pivotButton="0" quotePrefix="0" xfId="0">
      <alignment horizontal="left" vertical="center" indent="1"/>
    </xf>
    <xf numFmtId="0" fontId="28" fillId="16" borderId="0" applyAlignment="1" pivotButton="0" quotePrefix="0" xfId="0">
      <alignment horizontal="left" vertical="center" indent="1"/>
    </xf>
    <xf numFmtId="0" fontId="0" fillId="16" borderId="0" pivotButton="0" quotePrefix="0" xfId="0"/>
    <xf numFmtId="0" fontId="28" fillId="18" borderId="0" applyAlignment="1" pivotButton="0" quotePrefix="0" xfId="0">
      <alignment horizontal="left" vertical="center" indent="1"/>
    </xf>
    <xf numFmtId="0" fontId="28" fillId="2" borderId="0" applyAlignment="1" pivotButton="0" quotePrefix="0" xfId="0">
      <alignment horizontal="left" vertical="center" indent="1"/>
    </xf>
    <xf numFmtId="0" fontId="28" fillId="19" borderId="0" applyAlignment="1" pivotButton="0" quotePrefix="0" xfId="0">
      <alignment horizontal="left" vertical="center" indent="1"/>
    </xf>
    <xf numFmtId="0" fontId="0" fillId="19" borderId="0" pivotButton="0" quotePrefix="0" xfId="0"/>
    <xf numFmtId="0" fontId="9" fillId="7" borderId="0" applyAlignment="1" pivotButton="0" quotePrefix="0" xfId="0">
      <alignment horizontal="center"/>
    </xf>
    <xf numFmtId="0" fontId="23" fillId="5" borderId="0" applyAlignment="1" pivotButton="0" quotePrefix="0" xfId="0">
      <alignment horizontal="center"/>
    </xf>
    <xf numFmtId="0" fontId="18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20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167" fontId="21" fillId="10" borderId="0" applyAlignment="1" pivotButton="0" quotePrefix="0" xfId="0">
      <alignment horizontal="center" vertical="center"/>
    </xf>
    <xf numFmtId="167" fontId="21" fillId="9" borderId="0" applyAlignment="1" pivotButton="0" quotePrefix="0" xfId="0">
      <alignment horizontal="center" vertical="center"/>
    </xf>
    <xf numFmtId="167" fontId="21" fillId="3" borderId="0" applyAlignment="1" pivotButton="0" quotePrefix="0" xfId="0">
      <alignment horizontal="center" vertical="center"/>
    </xf>
    <xf numFmtId="168" fontId="21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167" fontId="21" fillId="2" borderId="0" applyAlignment="1" pivotButton="0" quotePrefix="0" xfId="0">
      <alignment horizontal="center" vertical="center"/>
    </xf>
    <xf numFmtId="167" fontId="21" fillId="13" borderId="0" applyAlignment="1" pivotButton="0" quotePrefix="0" xfId="0">
      <alignment horizontal="center" vertical="center"/>
    </xf>
    <xf numFmtId="168" fontId="21" fillId="13" borderId="0" applyAlignment="1" pivotButton="0" quotePrefix="0" xfId="0">
      <alignment horizontal="center" vertical="center"/>
    </xf>
    <xf numFmtId="168" fontId="21" fillId="18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167" fontId="21" fillId="6" borderId="0" applyAlignment="1" pivotButton="0" quotePrefix="0" xfId="0">
      <alignment horizontal="center" vertical="center"/>
    </xf>
    <xf numFmtId="167" fontId="21" fillId="12" borderId="0" applyAlignment="1" pivotButton="0" quotePrefix="0" xfId="0">
      <alignment horizontal="center" vertical="center"/>
    </xf>
    <xf numFmtId="167" fontId="21" fillId="16" borderId="0" applyAlignment="1" pivotButton="0" quotePrefix="0" xfId="0">
      <alignment horizontal="center" vertical="center"/>
    </xf>
    <xf numFmtId="168" fontId="21" fillId="10" borderId="0" applyAlignment="1" pivotButton="0" quotePrefix="0" xfId="0">
      <alignment horizontal="center" vertical="center"/>
    </xf>
    <xf numFmtId="0" fontId="23" fillId="17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2" fillId="5" borderId="1" applyAlignment="1" pivotButton="0" quotePrefix="0" xfId="0">
      <alignment horizontal="center" vertical="center"/>
    </xf>
    <xf numFmtId="167" fontId="22" fillId="5" borderId="1" applyAlignment="1" pivotButton="0" quotePrefix="0" xfId="0">
      <alignment horizontal="center" vertical="center"/>
    </xf>
    <xf numFmtId="1" fontId="22" fillId="5" borderId="1" applyAlignment="1" pivotButton="0" quotePrefix="0" xfId="0">
      <alignment horizontal="center" vertical="center"/>
    </xf>
    <xf numFmtId="169" fontId="22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5" fontId="0" fillId="4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166" fontId="0" fillId="4" borderId="1" applyProtection="1" pivotButton="0" quotePrefix="0" xfId="0">
      <protection locked="0" hidden="0"/>
    </xf>
    <xf numFmtId="0" fontId="0" fillId="5" borderId="1" pivotButton="0" quotePrefix="0" xfId="0"/>
    <xf numFmtId="166" fontId="0" fillId="5" borderId="1" pivotButton="0" quotePrefix="0" xfId="0"/>
    <xf numFmtId="0" fontId="3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167" fontId="7" fillId="7" borderId="1" applyAlignment="1" applyProtection="1" pivotButton="0" quotePrefix="0" xfId="0">
      <alignment horizontal="center" vertical="center"/>
      <protection locked="0" hidden="0"/>
    </xf>
    <xf numFmtId="167" fontId="0" fillId="0" borderId="1" pivotButton="0" quotePrefix="0" xfId="0"/>
    <xf numFmtId="168" fontId="0" fillId="0" borderId="1" pivotButton="0" quotePrefix="0" xfId="0"/>
    <xf numFmtId="0" fontId="5" fillId="9" borderId="1" pivotButton="0" quotePrefix="0" xfId="0"/>
    <xf numFmtId="167" fontId="5" fillId="9" borderId="1" pivotButton="0" quotePrefix="0" xfId="0"/>
    <xf numFmtId="168" fontId="5" fillId="9" borderId="1" pivotButton="0" quotePrefix="0" xfId="0"/>
    <xf numFmtId="0" fontId="8" fillId="8" borderId="1" applyAlignment="1" pivotButton="0" quotePrefix="0" xfId="0">
      <alignment horizontal="left" vertical="center" indent="1"/>
    </xf>
    <xf numFmtId="0" fontId="5" fillId="10" borderId="1" pivotButton="0" quotePrefix="0" xfId="0"/>
    <xf numFmtId="167" fontId="5" fillId="10" borderId="1" pivotButton="0" quotePrefix="0" xfId="0"/>
    <xf numFmtId="0" fontId="5" fillId="3" borderId="1" pivotButton="0" quotePrefix="0" xfId="0"/>
    <xf numFmtId="167" fontId="5" fillId="3" borderId="1" pivotButton="0" quotePrefix="0" xfId="0"/>
    <xf numFmtId="0" fontId="5" fillId="11" borderId="1" pivotButton="0" quotePrefix="0" xfId="0"/>
    <xf numFmtId="167" fontId="5" fillId="11" borderId="1" pivotButton="0" quotePrefix="0" xfId="0"/>
    <xf numFmtId="0" fontId="5" fillId="12" borderId="1" pivotButton="0" quotePrefix="0" xfId="0"/>
    <xf numFmtId="168" fontId="5" fillId="12" borderId="1" pivotButton="0" quotePrefix="0" xfId="0"/>
    <xf numFmtId="0" fontId="3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1" fontId="9" fillId="7" borderId="2" applyAlignment="1" applyProtection="1" pivotButton="0" quotePrefix="0" xfId="0">
      <alignment horizontal="center" vertical="center"/>
      <protection locked="0" hidden="0"/>
    </xf>
    <xf numFmtId="166" fontId="9" fillId="7" borderId="2" applyAlignment="1" applyProtection="1" pivotButton="0" quotePrefix="0" xfId="0">
      <alignment horizontal="center" vertical="center"/>
      <protection locked="0" hidden="0"/>
    </xf>
    <xf numFmtId="166" fontId="0" fillId="0" borderId="1" pivotButton="0" quotePrefix="0" xfId="0"/>
    <xf numFmtId="168" fontId="9" fillId="7" borderId="2" applyAlignment="1" applyProtection="1" pivotButton="0" quotePrefix="0" xfId="0">
      <alignment horizontal="center" vertical="center"/>
      <protection locked="0" hidden="0"/>
    </xf>
    <xf numFmtId="0" fontId="5" fillId="13" borderId="1" pivotButton="0" quotePrefix="0" xfId="0"/>
    <xf numFmtId="166" fontId="5" fillId="13" borderId="1" pivotButton="0" quotePrefix="0" xfId="0"/>
    <xf numFmtId="168" fontId="5" fillId="13" borderId="1" pivotButton="0" quotePrefix="0" xfId="0"/>
    <xf numFmtId="0" fontId="10" fillId="0" borderId="0" pivotButton="0" quotePrefix="0" xfId="0"/>
    <xf numFmtId="168" fontId="11" fillId="0" borderId="0" pivotButton="0" quotePrefix="0" xfId="0"/>
    <xf numFmtId="0" fontId="12" fillId="14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167" fontId="12" fillId="0" borderId="1" pivotButton="0" quotePrefix="0" xfId="0"/>
    <xf numFmtId="168" fontId="12" fillId="0" borderId="1" pivotButton="0" quotePrefix="0" xfId="0"/>
    <xf numFmtId="1" fontId="12" fillId="0" borderId="1" pivotButton="0" quotePrefix="0" xfId="0"/>
    <xf numFmtId="0" fontId="3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13" fillId="5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7" fillId="7" borderId="1" applyAlignment="1" applyProtection="1" pivotButton="0" quotePrefix="0" xfId="0">
      <alignment horizontal="center"/>
      <protection locked="0" hidden="0"/>
    </xf>
    <xf numFmtId="167" fontId="14" fillId="5" borderId="1" pivotButton="0" quotePrefix="0" xfId="0"/>
    <xf numFmtId="167" fontId="0" fillId="5" borderId="1" pivotButton="0" quotePrefix="0" xfId="0"/>
    <xf numFmtId="0" fontId="13" fillId="15" borderId="0" applyAlignment="1" pivotButton="0" quotePrefix="0" xfId="0">
      <alignment horizontal="left" vertical="center" indent="1"/>
    </xf>
    <xf numFmtId="0" fontId="10" fillId="0" borderId="1" pivotButton="0" quotePrefix="0" xfId="0"/>
    <xf numFmtId="1" fontId="7" fillId="7" borderId="1" applyAlignment="1" applyProtection="1" pivotButton="0" quotePrefix="0" xfId="0">
      <alignment horizontal="center" vertical="center"/>
      <protection locked="0" hidden="0"/>
    </xf>
    <xf numFmtId="167" fontId="13" fillId="0" borderId="1" pivotButton="0" quotePrefix="0" xfId="0"/>
    <xf numFmtId="168" fontId="13" fillId="0" borderId="1" pivotButton="0" quotePrefix="0" xfId="0"/>
    <xf numFmtId="0" fontId="3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left" vertical="center" indent="1"/>
    </xf>
    <xf numFmtId="0" fontId="6" fillId="0" borderId="0" pivotButton="0" quotePrefix="0" xfId="0"/>
    <xf numFmtId="167" fontId="7" fillId="7" borderId="2" applyAlignment="1" applyProtection="1" pivotButton="0" quotePrefix="0" xfId="0">
      <alignment horizontal="center" vertical="center"/>
      <protection locked="0" hidden="0"/>
    </xf>
    <xf numFmtId="167" fontId="16" fillId="5" borderId="0" pivotButton="0" quotePrefix="0" xfId="0"/>
    <xf numFmtId="1" fontId="7" fillId="7" borderId="2" applyAlignment="1" applyProtection="1" pivotButton="0" quotePrefix="0" xfId="0">
      <alignment horizontal="center" vertical="center"/>
      <protection locked="0" hidden="0"/>
    </xf>
    <xf numFmtId="168" fontId="7" fillId="7" borderId="2" applyAlignment="1" applyProtection="1" pivotButton="0" quotePrefix="0" xfId="0">
      <alignment horizontal="center" vertical="center"/>
      <protection locked="0" hidden="0"/>
    </xf>
    <xf numFmtId="169" fontId="16" fillId="5" borderId="0" pivotButton="0" quotePrefix="0" xfId="0"/>
    <xf numFmtId="0" fontId="17" fillId="0" borderId="0" applyAlignment="1" pivotButton="0" quotePrefix="0" xfId="0">
      <alignment horizontal="center"/>
    </xf>
    <xf numFmtId="0" fontId="5" fillId="16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left" vertical="center" indent="1"/>
    </xf>
    <xf numFmtId="167" fontId="19" fillId="5" borderId="0" pivotButton="0" quotePrefix="0" xfId="0"/>
    <xf numFmtId="167" fontId="0" fillId="0" borderId="0" pivotButton="0" quotePrefix="0" xfId="0"/>
    <xf numFmtId="168" fontId="19" fillId="5" borderId="0" pivotButton="0" quotePrefix="0" xfId="0"/>
    <xf numFmtId="169" fontId="19" fillId="5" borderId="0" pivotButton="0" quotePrefix="0" xfId="0"/>
    <xf numFmtId="0" fontId="19" fillId="5" borderId="0" pivotButton="0" quotePrefix="0" xfId="0"/>
    <xf numFmtId="0" fontId="5" fillId="18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165" fontId="7" fillId="7" borderId="2" applyAlignment="1" applyProtection="1" pivotButton="0" quotePrefix="0" xfId="0">
      <alignment horizontal="center" vertical="center"/>
      <protection locked="0" hidden="0"/>
    </xf>
    <xf numFmtId="0" fontId="5" fillId="10" borderId="1" applyAlignment="1" pivotButton="0" quotePrefix="0" xfId="0">
      <alignment horizontal="center" vertical="center" wrapText="1"/>
    </xf>
    <xf numFmtId="0" fontId="7" fillId="7" borderId="1" applyAlignment="1" applyProtection="1" pivotButton="0" quotePrefix="0" xfId="0">
      <alignment horizontal="left" vertical="center" indent="1"/>
      <protection locked="0" hidden="0"/>
    </xf>
    <xf numFmtId="165" fontId="7" fillId="7" borderId="1" applyAlignment="1" applyProtection="1" pivotButton="0" quotePrefix="0" xfId="0">
      <alignment horizontal="center" vertical="center"/>
      <protection locked="0" hidden="0"/>
    </xf>
    <xf numFmtId="168" fontId="0" fillId="5" borderId="1" pivotButton="0" quotePrefix="0" xfId="0"/>
    <xf numFmtId="1" fontId="0" fillId="5" borderId="1" pivotButton="0" quotePrefix="0" xfId="0"/>
    <xf numFmtId="0" fontId="3" fillId="11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7">
    <dxf>
      <font>
        <b val="1"/>
        <color rgb="00188A5B"/>
      </font>
      <fill>
        <patternFill patternType="solid">
          <fgColor rgb="00E2F4EC"/>
        </patternFill>
      </fill>
    </dxf>
    <dxf>
      <font>
        <b val="1"/>
        <color rgb="00C0392B"/>
      </font>
      <fill>
        <patternFill patternType="solid">
          <fgColor rgb="00FBE7E4"/>
        </patternFill>
      </fill>
    </dxf>
    <dxf>
      <font>
        <b val="1"/>
        <color rgb="002563EB"/>
      </font>
      <fill>
        <patternFill patternType="solid">
          <fgColor rgb="00E7EEFC"/>
        </patternFill>
      </fill>
    </dxf>
    <dxf>
      <font>
        <b val="1"/>
        <color rgb="00C0392B"/>
      </font>
    </dxf>
    <dxf>
      <font>
        <b val="1"/>
        <color rgb="00FFE0E0"/>
      </font>
    </dxf>
    <dxf>
      <font>
        <b val="1"/>
        <color rgb="00188A5B"/>
      </font>
    </dxf>
    <dxf>
      <fill>
        <patternFill patternType="solid">
          <fgColor rgb="00E2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Receitas × Despesas × Investimentos (mês a mês)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Receitas</v>
          </tx>
          <spPr>
            <a:solidFill>
              <a:srgbClr val="188A5B"/>
            </a:solidFill>
            <a:ln>
              <a:prstDash val="solid"/>
            </a:ln>
          </spPr>
          <cat>
            <numRef>
              <f>'Orcamento'!$C$4:$N$4</f>
            </numRef>
          </cat>
          <val>
            <numRef>
              <f>'Orcamento'!$C$26:$N$26</f>
            </numRef>
          </val>
        </ser>
        <ser>
          <idx val="1"/>
          <order val="1"/>
          <tx>
            <v>Despesas</v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'Orcamento'!$C$4:$N$4</f>
            </numRef>
          </cat>
          <val>
            <numRef>
              <f>'Orcamento'!$C$17:$N$17</f>
            </numRef>
          </val>
        </ser>
        <ser>
          <idx val="2"/>
          <order val="2"/>
          <tx>
            <v>Investido</v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'Orcamento'!$C$4:$N$4</f>
            </numRef>
          </cat>
          <val>
            <numRef>
              <f>'Orcamento'!$C$28:$N$28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Despesas por Categoria (ano)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prstDash val="solid"/>
              </a:ln>
            </spPr>
          </dPt>
          <dPt>
            <idx val="1"/>
            <spPr>
              <a:solidFill>
                <a:srgbClr val="188A5B"/>
              </a:solidFill>
              <a:ln>
                <a:prstDash val="solid"/>
              </a:ln>
            </spPr>
          </dPt>
          <dPt>
            <idx val="2"/>
            <spPr>
              <a:solidFill>
                <a:srgbClr val="D97706"/>
              </a:solidFill>
              <a:ln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4"/>
            <spPr>
              <a:solidFill>
                <a:srgbClr val="6D28D9"/>
              </a:solidFill>
              <a:ln>
                <a:prstDash val="solid"/>
              </a:ln>
            </spPr>
          </dPt>
          <dPt>
            <idx val="5"/>
            <spPr>
              <a:solidFill>
                <a:srgbClr val="0E7C7B"/>
              </a:solidFill>
              <a:ln>
                <a:prstDash val="solid"/>
              </a:ln>
            </spPr>
          </dPt>
          <dPt>
            <idx val="6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7"/>
            <spPr>
              <a:solidFill>
                <a:srgbClr val="DB2777"/>
              </a:solidFill>
              <a:ln>
                <a:prstDash val="solid"/>
              </a:ln>
            </spPr>
          </dPt>
          <dPt>
            <idx val="8"/>
            <spPr>
              <a:solidFill>
                <a:srgbClr val="0891B2"/>
              </a:solidFill>
              <a:ln>
                <a:prstDash val="solid"/>
              </a:ln>
            </spPr>
          </dPt>
          <dPt>
            <idx val="9"/>
            <spPr>
              <a:solidFill>
                <a:srgbClr val="65A30D"/>
              </a:solidFill>
              <a:ln>
                <a:prstDash val="solid"/>
              </a:ln>
            </spPr>
          </dPt>
          <dPt>
            <idx val="10"/>
            <spPr>
              <a:solidFill>
                <a:srgbClr val="9333EA"/>
              </a:solidFill>
              <a:ln>
                <a:prstDash val="solid"/>
              </a:ln>
            </spPr>
          </dPt>
          <dPt>
            <idx val="11"/>
            <spPr>
              <a:solidFill>
                <a:srgbClr val="E11D48"/>
              </a:solidFill>
              <a:ln>
                <a:prstDash val="solid"/>
              </a:ln>
            </spPr>
          </dPt>
          <cat>
            <numRef>
              <f>'Orcamento'!$A$5:$A$16</f>
            </numRef>
          </cat>
          <val>
            <numRef>
              <f>'Orcamento'!$O$5:$O$16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Patrimônio Líquido</a:t>
            </a:r>
          </a:p>
        </rich>
      </tx>
    </title>
    <plotArea>
      <lineChart>
        <grouping val="standard"/>
        <ser>
          <idx val="0"/>
          <order val="0"/>
          <tx>
            <v>Patrimônio</v>
          </tx>
          <spPr>
            <a:ln w="28000">
              <a:solidFill>
                <a:srgbClr val="0E7C7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'Patrimonio'!$A$5:$A$10</f>
            </numRef>
          </cat>
          <val>
            <numRef>
              <f>'Patrimonio'!$G$5:$G$10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Poupança por Mês</a:t>
            </a:r>
          </a:p>
        </rich>
      </tx>
    </title>
    <plotArea>
      <lineChart>
        <grouping val="standard"/>
        <ser>
          <idx val="0"/>
          <order val="0"/>
          <tx>
            <v>Taxa de poupança</v>
          </tx>
          <spPr>
            <a:ln w="28000">
              <a:solidFill>
                <a:srgbClr val="D97706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'Orcamento'!$C$4:$N$4</f>
            </numRef>
          </cat>
          <val>
            <numRef>
              <f>'Orcamento'!$C$30:$N$30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por Ativo (Valor Atual)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prstDash val="solid"/>
              </a:ln>
            </spPr>
          </dPt>
          <dPt>
            <idx val="1"/>
            <spPr>
              <a:solidFill>
                <a:srgbClr val="188A5B"/>
              </a:solidFill>
              <a:ln>
                <a:prstDash val="solid"/>
              </a:ln>
            </spPr>
          </dPt>
          <dPt>
            <idx val="2"/>
            <spPr>
              <a:solidFill>
                <a:srgbClr val="D97706"/>
              </a:solidFill>
              <a:ln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4"/>
            <spPr>
              <a:solidFill>
                <a:srgbClr val="6D28D9"/>
              </a:solidFill>
              <a:ln>
                <a:prstDash val="solid"/>
              </a:ln>
            </spPr>
          </dPt>
          <dPt>
            <idx val="5"/>
            <spPr>
              <a:solidFill>
                <a:srgbClr val="0E7C7B"/>
              </a:solidFill>
              <a:ln>
                <a:prstDash val="solid"/>
              </a:ln>
            </spPr>
          </dPt>
          <dPt>
            <idx val="6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7"/>
            <spPr>
              <a:solidFill>
                <a:srgbClr val="DB2777"/>
              </a:solidFill>
              <a:ln>
                <a:prstDash val="solid"/>
              </a:ln>
            </spPr>
          </dPt>
          <dPt>
            <idx val="8"/>
            <spPr>
              <a:solidFill>
                <a:srgbClr val="0891B2"/>
              </a:solidFill>
              <a:ln>
                <a:prstDash val="solid"/>
              </a:ln>
            </spPr>
          </dPt>
          <dPt>
            <idx val="9"/>
            <spPr>
              <a:solidFill>
                <a:srgbClr val="65A30D"/>
              </a:solidFill>
              <a:ln>
                <a:prstDash val="solid"/>
              </a:ln>
            </spPr>
          </dPt>
          <cat>
            <numRef>
              <f>'Carteira'!$A$5:$A$14</f>
            </numRef>
          </cat>
          <val>
            <numRef>
              <f>'Carteira'!$G$5:$G$14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Alocação por Classe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prstDash val="solid"/>
              </a:ln>
            </spPr>
          </dPt>
          <dPt>
            <idx val="1"/>
            <spPr>
              <a:solidFill>
                <a:srgbClr val="188A5B"/>
              </a:solidFill>
              <a:ln>
                <a:prstDash val="solid"/>
              </a:ln>
            </spPr>
          </dPt>
          <dPt>
            <idx val="2"/>
            <spPr>
              <a:solidFill>
                <a:srgbClr val="D97706"/>
              </a:solidFill>
              <a:ln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4"/>
            <spPr>
              <a:solidFill>
                <a:srgbClr val="6D28D9"/>
              </a:solidFill>
              <a:ln>
                <a:prstDash val="solid"/>
              </a:ln>
            </spPr>
          </dPt>
          <dPt>
            <idx val="5"/>
            <spPr>
              <a:solidFill>
                <a:srgbClr val="0E7C7B"/>
              </a:solidFill>
              <a:ln>
                <a:prstDash val="solid"/>
              </a:ln>
            </spPr>
          </dPt>
          <cat>
            <numRef>
              <f>'Carteira'!$A$31:$A$36</f>
            </numRef>
          </cat>
          <val>
            <numRef>
              <f>'Carteira'!$B$31:$B$36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por Ativo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D28D9"/>
            </a:solidFill>
            <a:ln>
              <a:prstDash val="solid"/>
            </a:ln>
          </spPr>
          <cat>
            <numRef>
              <f>'Carteira'!$A$5:$A$14</f>
            </numRef>
          </cat>
          <val>
            <numRef>
              <f>'Carteira'!$H$5:$H$14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Patrimônio Líquido</a:t>
            </a:r>
          </a:p>
        </rich>
      </tx>
    </title>
    <plotArea>
      <lineChart>
        <grouping val="standard"/>
        <ser>
          <idx val="0"/>
          <order val="0"/>
          <tx>
            <v>Patrimônio Líquido</v>
          </tx>
          <spPr>
            <a:ln w="28000">
              <a:solidFill>
                <a:srgbClr val="0E7C7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'Patrimonio'!$A$5:$A$10</f>
            </numRef>
          </cat>
          <val>
            <numRef>
              <f>'Patrimonio'!$G$5:$G$10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do Patrimônio por Mês</a:t>
            </a:r>
          </a:p>
        </rich>
      </tx>
    </title>
    <plotArea>
      <areaChart>
        <grouping val="stacked"/>
        <ser>
          <idx val="0"/>
          <order val="0"/>
          <tx>
            <v>Conta/Liquidez</v>
          </tx>
          <spPr>
            <a:solidFill>
              <a:srgbClr val="0E7C7B"/>
            </a:solidFill>
            <a:ln>
              <a:prstDash val="solid"/>
            </a:ln>
          </spPr>
          <cat>
            <numRef>
              <f>'Patrimonio'!$A$5:$A$10</f>
            </numRef>
          </cat>
          <val>
            <numRef>
              <f>'Patrimonio'!$B$5:$B$10</f>
            </numRef>
          </val>
        </ser>
        <ser>
          <idx val="1"/>
          <order val="1"/>
          <tx>
            <v>Reserva</v>
          </tx>
          <spPr>
            <a:solidFill>
              <a:srgbClr val="188A5B"/>
            </a:solidFill>
            <a:ln>
              <a:prstDash val="solid"/>
            </a:ln>
          </spPr>
          <cat>
            <numRef>
              <f>'Patrimonio'!$A$5:$A$10</f>
            </numRef>
          </cat>
          <val>
            <numRef>
              <f>'Patrimonio'!$C$5:$C$10</f>
            </numRef>
          </val>
        </ser>
        <ser>
          <idx val="2"/>
          <order val="2"/>
          <tx>
            <v>Investimentos</v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'Patrimonio'!$A$5:$A$10</f>
            </numRef>
          </cat>
          <val>
            <numRef>
              <f>'Patrimonio'!$D$5:$D$10</f>
            </numRef>
          </val>
        </ser>
        <ser>
          <idx val="3"/>
          <order val="3"/>
          <tx>
            <v>Outros</v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'Patrimonio'!$A$5:$A$10</f>
            </numRef>
          </cat>
          <val>
            <numRef>
              <f>'Patrimonio'!$E$5:$E$10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Crescimento do Patrimônio por Cenário</a:t>
            </a:r>
          </a:p>
        </rich>
      </tx>
    </title>
    <plotArea>
      <lineChart>
        <grouping val="standard"/>
        <ser>
          <idx val="0"/>
          <order val="0"/>
          <tx>
            <v>Total Aportado</v>
          </tx>
          <spPr>
            <a:ln w="28000">
              <a:solidFill>
                <a:srgbClr val="94A3B8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'Simulador'!$A$13:$A$43</f>
            </numRef>
          </cat>
          <val>
            <numRef>
              <f>'Simulador'!$B$13:$B$43</f>
            </numRef>
          </val>
        </ser>
        <ser>
          <idx val="1"/>
          <order val="1"/>
          <tx>
            <v>Conservador</v>
          </tx>
          <spPr>
            <a:ln w="28000">
              <a:solidFill>
                <a:srgbClr val="188A5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'Simulador'!$A$13:$A$43</f>
            </numRef>
          </cat>
          <val>
            <numRef>
              <f>'Simulador'!$C$13:$C$43</f>
            </numRef>
          </val>
        </ser>
        <ser>
          <idx val="2"/>
          <order val="2"/>
          <tx>
            <v>Moderado</v>
          </tx>
          <spPr>
            <a:ln w="28000"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'Simulador'!$A$13:$A$43</f>
            </numRef>
          </cat>
          <val>
            <numRef>
              <f>'Simulador'!$D$13:$D$43</f>
            </numRef>
          </val>
        </ser>
        <ser>
          <idx val="3"/>
          <order val="3"/>
          <tx>
            <v>Arrojado</v>
          </tx>
          <spPr>
            <a:ln w="28000">
              <a:solidFill>
                <a:srgbClr val="6D28D9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'Simulador'!$A$13:$A$43</f>
            </numRef>
          </cat>
          <val>
            <numRef>
              <f>'Simulador'!$E$13:$E$43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Patrimônio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Aportado × Juros (cenário Moderado)</a:t>
            </a:r>
          </a:p>
        </rich>
      </tx>
    </title>
    <plotArea>
      <areaChart>
        <grouping val="stacked"/>
        <ser>
          <idx val="0"/>
          <order val="0"/>
          <tx>
            <v>Total Aportado</v>
          </tx>
          <spPr>
            <a:solidFill>
              <a:srgbClr val="94A3B8"/>
            </a:solidFill>
            <a:ln>
              <a:prstDash val="solid"/>
            </a:ln>
          </spPr>
          <cat>
            <numRef>
              <f>'Simulador'!$A$13:$A$43</f>
            </numRef>
          </cat>
          <val>
            <numRef>
              <f>'Simulador'!$B$13:$B$43</f>
            </numRef>
          </val>
        </ser>
        <ser>
          <idx val="1"/>
          <order val="1"/>
          <tx>
            <v>Juros acumulados</v>
          </tx>
          <spPr>
            <a:solidFill>
              <a:srgbClr val="188A5B"/>
            </a:solidFill>
            <a:ln>
              <a:prstDash val="solid"/>
            </a:ln>
          </spPr>
          <cat>
            <numRef>
              <f>'Simulador'!$A$13:$A$43</f>
            </numRef>
          </cat>
          <val>
            <numRef>
              <f>'Simulador'!$F$13:$F$43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Sua Trajetória até a Independência Financeira</a:t>
            </a:r>
          </a:p>
        </rich>
      </tx>
    </title>
    <plotArea>
      <lineChart>
        <grouping val="standard"/>
        <ser>
          <idx val="0"/>
          <order val="0"/>
          <tx>
            <v>Patrimônio projetado</v>
          </tx>
          <spPr>
            <a:ln w="28000">
              <a:solidFill>
                <a:srgbClr val="B7791F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val>
            <numRef>
              <f>'Independencia'!$C$25:$C$65</f>
            </numRef>
          </val>
        </ser>
        <ser>
          <idx val="1"/>
          <order val="1"/>
          <tx>
            <v>Meta FIRE</v>
          </tx>
          <spPr>
            <a:ln w="28000">
              <a:solidFill>
                <a:srgbClr val="C0392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val>
            <numRef>
              <f>'Independencia'!$E$25:$E$65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Anos a partir de hoje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Patrimônio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Progresso das Metas (%)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188A5B"/>
            </a:solidFill>
            <a:ln>
              <a:prstDash val="solid"/>
            </a:ln>
          </spPr>
          <cat>
            <numRef>
              <f>'Metas'!$A$5:$A$9</f>
            </numRef>
          </cat>
          <val>
            <numRef>
              <f>'Metas'!$F$5:$F$9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39</row>
      <rowOff>0</rowOff>
    </from>
    <ext cx="468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21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39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612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tabColor rgb="0016243A"/>
    <outlinePr summaryBelow="1" summaryRight="1"/>
    <pageSetUpPr/>
  </sheetPr>
  <dimension ref="B2:M3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9.300000000000001" customWidth="1" min="2" max="2"/>
    <col width="9.300000000000001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</cols>
  <sheetData>
    <row r="2" ht="34" customHeight="1">
      <c r="B2" s="1" t="inlineStr">
        <is>
          <t>PLANILHA DE FINANÇAS &amp; INVESTIMENTOS</t>
        </is>
      </c>
    </row>
    <row r="3"/>
    <row r="4">
      <c r="B4" s="2" t="inlineStr">
        <is>
          <t>Controle financeiro • Orçamento • Carteira de investimentos • Patrimônio • Simulador • Independência financeira • Metas</t>
        </is>
      </c>
    </row>
    <row r="6" ht="22" customHeight="1">
      <c r="B6" s="3" t="inlineStr">
        <is>
          <t>📌  RESUMO DO MOMENTO (atualiza sozinho)</t>
        </is>
      </c>
    </row>
    <row r="7">
      <c r="B7" s="4" t="inlineStr">
        <is>
          <t>PATRIMÔNIO LÍQUIDO</t>
        </is>
      </c>
      <c r="C7" s="5" t="n"/>
      <c r="D7" s="5" t="n"/>
      <c r="E7" s="6" t="inlineStr">
        <is>
          <t>RECEITAS NO ANO</t>
        </is>
      </c>
      <c r="F7" s="7" t="n"/>
      <c r="G7" s="7" t="n"/>
      <c r="H7" s="8" t="inlineStr">
        <is>
          <t>DESPESAS NO ANO</t>
        </is>
      </c>
      <c r="I7" s="9" t="n"/>
      <c r="J7" s="9" t="n"/>
      <c r="K7" s="10" t="inlineStr">
        <is>
          <t>TAXA DE POUPANÇA</t>
        </is>
      </c>
      <c r="L7" s="11" t="n"/>
      <c r="M7" s="11" t="n"/>
    </row>
    <row r="8">
      <c r="B8" s="12">
        <f>Dashboard!B8</f>
        <v/>
      </c>
      <c r="C8" s="5" t="n"/>
      <c r="D8" s="5" t="n"/>
      <c r="E8" s="13">
        <f>Dashboard!B4</f>
        <v/>
      </c>
      <c r="F8" s="7" t="n"/>
      <c r="G8" s="7" t="n"/>
      <c r="H8" s="14">
        <f>Dashboard!G4</f>
        <v/>
      </c>
      <c r="I8" s="9" t="n"/>
      <c r="J8" s="9" t="n"/>
      <c r="K8" s="15">
        <f>Dashboard!Q4</f>
        <v/>
      </c>
      <c r="L8" s="11" t="n"/>
      <c r="M8" s="11" t="n"/>
    </row>
    <row r="9">
      <c r="B9" s="5" t="n"/>
      <c r="C9" s="5" t="n"/>
      <c r="D9" s="5" t="n"/>
      <c r="E9" s="7" t="n"/>
      <c r="F9" s="7" t="n"/>
      <c r="G9" s="7" t="n"/>
      <c r="H9" s="9" t="n"/>
      <c r="I9" s="9" t="n"/>
      <c r="J9" s="9" t="n"/>
      <c r="K9" s="11" t="n"/>
      <c r="L9" s="11" t="n"/>
      <c r="M9" s="11" t="n"/>
    </row>
    <row r="11">
      <c r="B11" s="16" t="inlineStr">
        <is>
          <t>CARTEIRA (VALOR)</t>
        </is>
      </c>
      <c r="C11" s="17" t="n"/>
      <c r="D11" s="17" t="n"/>
      <c r="E11" s="18" t="inlineStr">
        <is>
          <t>PROGRESSO FIRE</t>
        </is>
      </c>
      <c r="F11" s="19" t="n"/>
      <c r="G11" s="19" t="n"/>
      <c r="H11" s="20" t="inlineStr">
        <is>
          <t>SALDO DO ANO</t>
        </is>
      </c>
      <c r="I11" s="21" t="n"/>
      <c r="J11" s="21" t="n"/>
      <c r="K11" s="22" t="inlineStr">
        <is>
          <t>RESERVA — % META</t>
        </is>
      </c>
      <c r="L11" s="23" t="n"/>
      <c r="M11" s="23" t="n"/>
    </row>
    <row r="12">
      <c r="B12" s="24">
        <f>Dashboard!G8</f>
        <v/>
      </c>
      <c r="C12" s="17" t="n"/>
      <c r="D12" s="17" t="n"/>
      <c r="E12" s="25">
        <f>Dashboard!Q8</f>
        <v/>
      </c>
      <c r="F12" s="19" t="n"/>
      <c r="G12" s="19" t="n"/>
      <c r="H12" s="26">
        <f>Dashboard!B12</f>
        <v/>
      </c>
      <c r="I12" s="21" t="n"/>
      <c r="J12" s="21" t="n"/>
      <c r="K12" s="27">
        <f>Dashboard!Q12</f>
        <v/>
      </c>
      <c r="L12" s="23" t="n"/>
      <c r="M12" s="23" t="n"/>
    </row>
    <row r="13">
      <c r="B13" s="17" t="n"/>
      <c r="C13" s="17" t="n"/>
      <c r="D13" s="17" t="n"/>
      <c r="E13" s="19" t="n"/>
      <c r="F13" s="19" t="n"/>
      <c r="G13" s="19" t="n"/>
      <c r="H13" s="21" t="n"/>
      <c r="I13" s="21" t="n"/>
      <c r="J13" s="21" t="n"/>
      <c r="K13" s="23" t="n"/>
      <c r="L13" s="23" t="n"/>
      <c r="M13" s="23" t="n"/>
    </row>
    <row r="15" ht="22" customHeight="1">
      <c r="B15" s="3" t="inlineStr">
        <is>
          <t>🧭  NAVEGAÇÃO (clique para abrir a aba)</t>
        </is>
      </c>
    </row>
    <row r="16">
      <c r="B16" s="28" t="inlineStr">
        <is>
          <t>📊 Dashboard</t>
        </is>
      </c>
      <c r="C16" s="7" t="n"/>
      <c r="D16" s="7" t="n"/>
      <c r="E16" s="7" t="n"/>
      <c r="F16" s="7" t="n"/>
      <c r="G16" s="7" t="n"/>
      <c r="H16" s="29" t="inlineStr">
        <is>
          <t>💰 Lançamentos</t>
        </is>
      </c>
      <c r="I16" s="23" t="n"/>
      <c r="J16" s="23" t="n"/>
      <c r="K16" s="23" t="n"/>
      <c r="L16" s="23" t="n"/>
      <c r="M16" s="23" t="n"/>
    </row>
    <row r="17">
      <c r="B17" s="30" t="inlineStr">
        <is>
          <t>Visão geral, indicadores e gráficos</t>
        </is>
      </c>
      <c r="C17" s="31" t="n"/>
      <c r="D17" s="31" t="n"/>
      <c r="E17" s="31" t="n"/>
      <c r="F17" s="31" t="n"/>
      <c r="G17" s="31" t="n"/>
      <c r="H17" s="30" t="inlineStr">
        <is>
          <t>Registre receitas, despesas e aportes</t>
        </is>
      </c>
      <c r="I17" s="31" t="n"/>
      <c r="J17" s="31" t="n"/>
      <c r="K17" s="31" t="n"/>
      <c r="L17" s="31" t="n"/>
      <c r="M17" s="31" t="n"/>
    </row>
    <row r="19">
      <c r="B19" s="32" t="inlineStr">
        <is>
          <t>📅 Orçamento</t>
        </is>
      </c>
      <c r="C19" s="21" t="n"/>
      <c r="D19" s="21" t="n"/>
      <c r="E19" s="21" t="n"/>
      <c r="F19" s="21" t="n"/>
      <c r="G19" s="21" t="n"/>
      <c r="H19" s="33" t="inlineStr">
        <is>
          <t>📈 Carteira</t>
        </is>
      </c>
      <c r="I19" s="17" t="n"/>
      <c r="J19" s="17" t="n"/>
      <c r="K19" s="17" t="n"/>
      <c r="L19" s="17" t="n"/>
      <c r="M19" s="17" t="n"/>
    </row>
    <row r="20">
      <c r="B20" s="30" t="inlineStr">
        <is>
          <t>Planejado × realizado, mês a mês</t>
        </is>
      </c>
      <c r="C20" s="31" t="n"/>
      <c r="D20" s="31" t="n"/>
      <c r="E20" s="31" t="n"/>
      <c r="F20" s="31" t="n"/>
      <c r="G20" s="31" t="n"/>
      <c r="H20" s="30" t="inlineStr">
        <is>
          <t>Ações, FIIs e ETFs com rebalanceamento</t>
        </is>
      </c>
      <c r="I20" s="31" t="n"/>
      <c r="J20" s="31" t="n"/>
      <c r="K20" s="31" t="n"/>
      <c r="L20" s="31" t="n"/>
      <c r="M20" s="31" t="n"/>
    </row>
    <row r="22">
      <c r="B22" s="34" t="inlineStr">
        <is>
          <t>🏦 Patrimônio</t>
        </is>
      </c>
      <c r="C22" s="11" t="n"/>
      <c r="D22" s="11" t="n"/>
      <c r="E22" s="11" t="n"/>
      <c r="F22" s="11" t="n"/>
      <c r="G22" s="11" t="n"/>
      <c r="H22" s="35" t="inlineStr">
        <is>
          <t>🧮 Simulador</t>
        </is>
      </c>
      <c r="I22" s="36" t="n"/>
      <c r="J22" s="36" t="n"/>
      <c r="K22" s="36" t="n"/>
      <c r="L22" s="36" t="n"/>
      <c r="M22" s="36" t="n"/>
    </row>
    <row r="23">
      <c r="B23" s="30" t="inlineStr">
        <is>
          <t>Patrimônio líquido e reserva</t>
        </is>
      </c>
      <c r="C23" s="31" t="n"/>
      <c r="D23" s="31" t="n"/>
      <c r="E23" s="31" t="n"/>
      <c r="F23" s="31" t="n"/>
      <c r="G23" s="31" t="n"/>
      <c r="H23" s="30" t="inlineStr">
        <is>
          <t>Projeção de juros compostos</t>
        </is>
      </c>
      <c r="I23" s="31" t="n"/>
      <c r="J23" s="31" t="n"/>
      <c r="K23" s="31" t="n"/>
      <c r="L23" s="31" t="n"/>
      <c r="M23" s="31" t="n"/>
    </row>
    <row r="25">
      <c r="B25" s="37" t="inlineStr">
        <is>
          <t>🔥 Independência</t>
        </is>
      </c>
      <c r="C25" s="19" t="n"/>
      <c r="D25" s="19" t="n"/>
      <c r="E25" s="19" t="n"/>
      <c r="F25" s="19" t="n"/>
      <c r="G25" s="19" t="n"/>
      <c r="H25" s="28" t="inlineStr">
        <is>
          <t>🎯 Metas</t>
        </is>
      </c>
      <c r="I25" s="7" t="n"/>
      <c r="J25" s="7" t="n"/>
      <c r="K25" s="7" t="n"/>
      <c r="L25" s="7" t="n"/>
      <c r="M25" s="7" t="n"/>
    </row>
    <row r="26">
      <c r="B26" s="30" t="inlineStr">
        <is>
          <t>Quando você atinge a liberdade (FIRE)</t>
        </is>
      </c>
      <c r="C26" s="31" t="n"/>
      <c r="D26" s="31" t="n"/>
      <c r="E26" s="31" t="n"/>
      <c r="F26" s="31" t="n"/>
      <c r="G26" s="31" t="n"/>
      <c r="H26" s="30" t="inlineStr">
        <is>
          <t>Objetivos e aporte mensal necessário</t>
        </is>
      </c>
      <c r="I26" s="31" t="n"/>
      <c r="J26" s="31" t="n"/>
      <c r="K26" s="31" t="n"/>
      <c r="L26" s="31" t="n"/>
      <c r="M26" s="31" t="n"/>
    </row>
    <row r="28">
      <c r="B28" s="38" t="inlineStr">
        <is>
          <t>📖 Instruções</t>
        </is>
      </c>
      <c r="C28" s="5" t="n"/>
      <c r="D28" s="5" t="n"/>
      <c r="E28" s="5" t="n"/>
      <c r="F28" s="5" t="n"/>
      <c r="G28" s="5" t="n"/>
      <c r="H28" s="39" t="inlineStr">
        <is>
          <t>⚙️ Config</t>
        </is>
      </c>
      <c r="I28" s="40" t="n"/>
      <c r="J28" s="40" t="n"/>
      <c r="K28" s="40" t="n"/>
      <c r="L28" s="40" t="n"/>
      <c r="M28" s="40" t="n"/>
    </row>
    <row r="29">
      <c r="B29" s="30" t="inlineStr">
        <is>
          <t>Guia completo passo a passo</t>
        </is>
      </c>
      <c r="C29" s="31" t="n"/>
      <c r="D29" s="31" t="n"/>
      <c r="E29" s="31" t="n"/>
      <c r="F29" s="31" t="n"/>
      <c r="G29" s="31" t="n"/>
      <c r="H29" s="30" t="inlineStr">
        <is>
          <t>Listas e categorias personalizáveis</t>
        </is>
      </c>
      <c r="I29" s="31" t="n"/>
      <c r="J29" s="31" t="n"/>
      <c r="K29" s="31" t="n"/>
      <c r="L29" s="31" t="n"/>
      <c r="M29" s="31" t="n"/>
    </row>
    <row r="31">
      <c r="B31" s="41" t="inlineStr">
        <is>
          <t>🟡 VOCÊ PREENCHE</t>
        </is>
      </c>
      <c r="E31" s="42" t="inlineStr">
        <is>
          <t>⬜ CÁLCULO AUTOMÁTICO</t>
        </is>
      </c>
    </row>
    <row r="33" ht="26" customHeight="1">
      <c r="B33" s="43" t="inlineStr">
        <is>
          <t>🟡 REGRA DE OURO: edite apenas as células amarelas e a aba Lançamentos. Todo o resto é calculado sozinho.</t>
        </is>
      </c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</row>
  </sheetData>
  <mergeCells count="43">
    <mergeCell ref="H25:M25"/>
    <mergeCell ref="B11:D11"/>
    <mergeCell ref="B17:G17"/>
    <mergeCell ref="B23:G23"/>
    <mergeCell ref="H8:J9"/>
    <mergeCell ref="H17:M17"/>
    <mergeCell ref="E12:G13"/>
    <mergeCell ref="H11:J11"/>
    <mergeCell ref="B29:G29"/>
    <mergeCell ref="H7:J7"/>
    <mergeCell ref="H16:M16"/>
    <mergeCell ref="B19:G19"/>
    <mergeCell ref="B28:G28"/>
    <mergeCell ref="E11:G11"/>
    <mergeCell ref="H19:M19"/>
    <mergeCell ref="H22:M22"/>
    <mergeCell ref="H28:M28"/>
    <mergeCell ref="E8:G9"/>
    <mergeCell ref="B12:D13"/>
    <mergeCell ref="E7:G7"/>
    <mergeCell ref="K7:M7"/>
    <mergeCell ref="B8:D9"/>
    <mergeCell ref="B6:M6"/>
    <mergeCell ref="B20:G20"/>
    <mergeCell ref="B15:M15"/>
    <mergeCell ref="B2:M3"/>
    <mergeCell ref="B33:M33"/>
    <mergeCell ref="H23:M23"/>
    <mergeCell ref="B26:G26"/>
    <mergeCell ref="B7:D7"/>
    <mergeCell ref="B4:M4"/>
    <mergeCell ref="K12:M13"/>
    <mergeCell ref="H20:M20"/>
    <mergeCell ref="H26:M26"/>
    <mergeCell ref="B25:G25"/>
    <mergeCell ref="H29:M29"/>
    <mergeCell ref="B16:G16"/>
    <mergeCell ref="E31:H31"/>
    <mergeCell ref="B22:G22"/>
    <mergeCell ref="B31:D31"/>
    <mergeCell ref="K8:M9"/>
    <mergeCell ref="H12:J13"/>
    <mergeCell ref="K11:M11"/>
  </mergeCells>
  <hyperlinks>
    <hyperlink ref="B16" location="'Dashboard'!A1"/>
    <hyperlink ref="H16" location="'Lancamentos'!A1"/>
    <hyperlink ref="B19" location="'Orcamento'!A1"/>
    <hyperlink ref="H19" location="'Carteira'!A1"/>
    <hyperlink ref="B22" location="'Patrimonio'!A1"/>
    <hyperlink ref="H22" location="'Simulador'!A1"/>
    <hyperlink ref="B25" location="'Independencia'!A1"/>
    <hyperlink ref="H25" location="'Metas'!A1"/>
    <hyperlink ref="B28" location="'Instrucoes'!A1"/>
    <hyperlink ref="H28" location="'Config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8A5B"/>
    <outlinePr summaryBelow="1" summaryRight="1"/>
    <pageSetUpPr/>
  </sheetPr>
  <dimension ref="A1:T59"/>
  <sheetViews>
    <sheetView showGridLines="0" workbookViewId="0">
      <selection activeCell="A1" sqref="A1"/>
    </sheetView>
  </sheetViews>
  <sheetFormatPr baseColWidth="8" defaultRowHeight="15"/>
  <cols>
    <col width="7.3" customWidth="1" min="1" max="1"/>
    <col width="7.3" customWidth="1" min="2" max="2"/>
    <col width="7.3" customWidth="1" min="3" max="3"/>
    <col width="7.3" customWidth="1" min="4" max="4"/>
    <col width="7.3" customWidth="1" min="5" max="5"/>
    <col width="7.3" customWidth="1" min="6" max="6"/>
    <col width="7.3" customWidth="1" min="7" max="7"/>
    <col width="7.3" customWidth="1" min="8" max="8"/>
    <col width="7.3" customWidth="1" min="9" max="9"/>
    <col width="7.3" customWidth="1" min="10" max="10"/>
    <col width="7.3" customWidth="1" min="11" max="11"/>
    <col width="7.3" customWidth="1" min="12" max="12"/>
    <col width="7.3" customWidth="1" min="13" max="13"/>
    <col width="7.3" customWidth="1" min="14" max="14"/>
    <col width="7.3" customWidth="1" min="15" max="15"/>
    <col width="7.3" customWidth="1" min="16" max="16"/>
    <col width="7.3" customWidth="1" min="17" max="17"/>
    <col width="7.3" customWidth="1" min="18" max="18"/>
    <col width="7.3" customWidth="1" min="19" max="19"/>
    <col width="7.3" customWidth="1" min="20" max="20"/>
  </cols>
  <sheetData>
    <row r="1" ht="34" customHeight="1">
      <c r="A1" s="45" t="inlineStr">
        <is>
          <t>📊  PAINEL FINANCEIRO — VISÃO GERAL 2026</t>
        </is>
      </c>
      <c r="R1" s="46" t="inlineStr">
        <is>
          <t>🏠 Início</t>
        </is>
      </c>
    </row>
    <row r="2" ht="6" customHeight="1"/>
    <row r="3">
      <c r="B3" s="47" t="inlineStr">
        <is>
          <t>RECEITAS NO ANO</t>
        </is>
      </c>
      <c r="C3" s="7" t="n"/>
      <c r="D3" s="7" t="n"/>
      <c r="E3" s="7" t="n"/>
      <c r="G3" s="48" t="inlineStr">
        <is>
          <t>DESPESAS NO ANO</t>
        </is>
      </c>
      <c r="H3" s="9" t="n"/>
      <c r="I3" s="9" t="n"/>
      <c r="J3" s="9" t="n"/>
      <c r="L3" s="49" t="inlineStr">
        <is>
          <t>INVESTIDO NO ANO</t>
        </is>
      </c>
      <c r="M3" s="23" t="n"/>
      <c r="N3" s="23" t="n"/>
      <c r="O3" s="23" t="n"/>
      <c r="Q3" s="50" t="inlineStr">
        <is>
          <t>TAXA DE POUPANÇA</t>
        </is>
      </c>
      <c r="R3" s="11" t="n"/>
      <c r="S3" s="11" t="n"/>
      <c r="T3" s="11" t="n"/>
    </row>
    <row r="4">
      <c r="B4" s="51">
        <f>Orcamento!O26</f>
        <v/>
      </c>
      <c r="C4" s="7" t="n"/>
      <c r="D4" s="7" t="n"/>
      <c r="E4" s="7" t="n"/>
      <c r="G4" s="52">
        <f>Orcamento!O17</f>
        <v/>
      </c>
      <c r="H4" s="9" t="n"/>
      <c r="I4" s="9" t="n"/>
      <c r="J4" s="9" t="n"/>
      <c r="L4" s="53">
        <f>Orcamento!O28</f>
        <v/>
      </c>
      <c r="M4" s="23" t="n"/>
      <c r="N4" s="23" t="n"/>
      <c r="O4" s="23" t="n"/>
      <c r="Q4" s="54">
        <f>IFERROR((Orcamento!O26-Orcamento!O17)/Orcamento!O26,0)</f>
        <v/>
      </c>
      <c r="R4" s="11" t="n"/>
      <c r="S4" s="11" t="n"/>
      <c r="T4" s="11" t="n"/>
    </row>
    <row r="5">
      <c r="B5" s="7" t="n"/>
      <c r="C5" s="7" t="n"/>
      <c r="D5" s="7" t="n"/>
      <c r="E5" s="7" t="n"/>
      <c r="G5" s="9" t="n"/>
      <c r="H5" s="9" t="n"/>
      <c r="I5" s="9" t="n"/>
      <c r="J5" s="9" t="n"/>
      <c r="L5" s="23" t="n"/>
      <c r="M5" s="23" t="n"/>
      <c r="N5" s="23" t="n"/>
      <c r="O5" s="23" t="n"/>
      <c r="Q5" s="11" t="n"/>
      <c r="R5" s="11" t="n"/>
      <c r="S5" s="11" t="n"/>
      <c r="T5" s="11" t="n"/>
    </row>
    <row r="6" ht="6" customHeight="1"/>
    <row r="7">
      <c r="B7" s="55" t="inlineStr">
        <is>
          <t>PATRIMÔNIO LÍQUIDO</t>
        </is>
      </c>
      <c r="C7" s="5" t="n"/>
      <c r="D7" s="5" t="n"/>
      <c r="E7" s="5" t="n"/>
      <c r="G7" s="56" t="inlineStr">
        <is>
          <t>CARTEIRA — VALOR ATUAL</t>
        </is>
      </c>
      <c r="H7" s="17" t="n"/>
      <c r="I7" s="17" t="n"/>
      <c r="J7" s="17" t="n"/>
      <c r="L7" s="56" t="inlineStr">
        <is>
          <t>CARTEIRA — RESULTADO %</t>
        </is>
      </c>
      <c r="M7" s="17" t="n"/>
      <c r="N7" s="17" t="n"/>
      <c r="O7" s="17" t="n"/>
      <c r="Q7" s="57" t="inlineStr">
        <is>
          <t>PROGRESSO FIRE</t>
        </is>
      </c>
      <c r="R7" s="19" t="n"/>
      <c r="S7" s="19" t="n"/>
      <c r="T7" s="19" t="n"/>
    </row>
    <row r="8">
      <c r="B8" s="58">
        <f>IFERROR(LOOKUP(2,1/(Patrimonio!G5:G16&lt;&gt;""),Patrimonio!G5:G16),0)</f>
        <v/>
      </c>
      <c r="C8" s="5" t="n"/>
      <c r="D8" s="5" t="n"/>
      <c r="E8" s="5" t="n"/>
      <c r="G8" s="59">
        <f>Carteira!G25</f>
        <v/>
      </c>
      <c r="H8" s="17" t="n"/>
      <c r="I8" s="17" t="n"/>
      <c r="J8" s="17" t="n"/>
      <c r="L8" s="60">
        <f>IFERROR(Carteira!H25/(Carteira!G25-Carteira!H25),0)</f>
        <v/>
      </c>
      <c r="M8" s="17" t="n"/>
      <c r="N8" s="17" t="n"/>
      <c r="O8" s="17" t="n"/>
      <c r="Q8" s="61">
        <f>Independencia!B15</f>
        <v/>
      </c>
      <c r="R8" s="19" t="n"/>
      <c r="S8" s="19" t="n"/>
      <c r="T8" s="19" t="n"/>
    </row>
    <row r="9">
      <c r="B9" s="5" t="n"/>
      <c r="C9" s="5" t="n"/>
      <c r="D9" s="5" t="n"/>
      <c r="E9" s="5" t="n"/>
      <c r="G9" s="17" t="n"/>
      <c r="H9" s="17" t="n"/>
      <c r="I9" s="17" t="n"/>
      <c r="J9" s="17" t="n"/>
      <c r="L9" s="17" t="n"/>
      <c r="M9" s="17" t="n"/>
      <c r="N9" s="17" t="n"/>
      <c r="O9" s="17" t="n"/>
      <c r="Q9" s="19" t="n"/>
      <c r="R9" s="19" t="n"/>
      <c r="S9" s="19" t="n"/>
      <c r="T9" s="19" t="n"/>
    </row>
    <row r="10" ht="6" customHeight="1"/>
    <row r="11">
      <c r="B11" s="62" t="inlineStr">
        <is>
          <t>SALDO DO ANO (SOBRA)</t>
        </is>
      </c>
      <c r="C11" s="21" t="n"/>
      <c r="D11" s="21" t="n"/>
      <c r="E11" s="21" t="n"/>
      <c r="G11" s="50" t="inlineStr">
        <is>
          <t>DIVIDENDOS 12M (CARTEIRA)</t>
        </is>
      </c>
      <c r="H11" s="11" t="n"/>
      <c r="I11" s="11" t="n"/>
      <c r="J11" s="11" t="n"/>
      <c r="L11" s="63" t="inlineStr">
        <is>
          <t>RENDA PASSIVA HOJE/MÊS</t>
        </is>
      </c>
      <c r="M11" s="36" t="n"/>
      <c r="N11" s="36" t="n"/>
      <c r="O11" s="36" t="n"/>
      <c r="Q11" s="47" t="inlineStr">
        <is>
          <t>RESERVA — % DA META</t>
        </is>
      </c>
      <c r="R11" s="7" t="n"/>
      <c r="S11" s="7" t="n"/>
      <c r="T11" s="7" t="n"/>
    </row>
    <row r="12">
      <c r="B12" s="64">
        <f>Orcamento!O26-Orcamento!O17-Orcamento!O28</f>
        <v/>
      </c>
      <c r="C12" s="21" t="n"/>
      <c r="D12" s="21" t="n"/>
      <c r="E12" s="21" t="n"/>
      <c r="G12" s="65">
        <f>Carteira!L25</f>
        <v/>
      </c>
      <c r="H12" s="11" t="n"/>
      <c r="I12" s="11" t="n"/>
      <c r="J12" s="11" t="n"/>
      <c r="L12" s="66">
        <f>Independencia!B14</f>
        <v/>
      </c>
      <c r="M12" s="36" t="n"/>
      <c r="N12" s="36" t="n"/>
      <c r="O12" s="36" t="n"/>
      <c r="Q12" s="67">
        <f>IFERROR(Patrimonio!B23,0)</f>
        <v/>
      </c>
      <c r="R12" s="7" t="n"/>
      <c r="S12" s="7" t="n"/>
      <c r="T12" s="7" t="n"/>
    </row>
    <row r="13">
      <c r="B13" s="21" t="n"/>
      <c r="C13" s="21" t="n"/>
      <c r="D13" s="21" t="n"/>
      <c r="E13" s="21" t="n"/>
      <c r="G13" s="11" t="n"/>
      <c r="H13" s="11" t="n"/>
      <c r="I13" s="11" t="n"/>
      <c r="J13" s="11" t="n"/>
      <c r="L13" s="36" t="n"/>
      <c r="M13" s="36" t="n"/>
      <c r="N13" s="36" t="n"/>
      <c r="O13" s="36" t="n"/>
      <c r="Q13" s="7" t="n"/>
      <c r="R13" s="7" t="n"/>
      <c r="S13" s="7" t="n"/>
      <c r="T13" s="7" t="n"/>
    </row>
    <row r="14" ht="22" customHeight="1">
      <c r="B14" s="3" t="inlineStr">
        <is>
          <t>📌  INSIGHTS AUTOMÁTICOS</t>
        </is>
      </c>
    </row>
    <row r="15">
      <c r="B15" s="68" t="inlineStr">
        <is>
          <t>🏆 Maior categoria de despesa</t>
        </is>
      </c>
      <c r="C15" s="69" t="n"/>
      <c r="D15" s="69" t="n"/>
      <c r="E15" s="69" t="n"/>
      <c r="F15" s="69" t="n"/>
      <c r="G15" s="70">
        <f>INDEX(Orcamento!$A$5:$A$16,MATCH(MAX(Orcamento!$O$5:$O$16),Orcamento!$O$5:$O$16,0))</f>
        <v/>
      </c>
      <c r="H15" s="69" t="n"/>
      <c r="I15" s="69" t="n"/>
      <c r="K15" s="68" t="inlineStr">
        <is>
          <t>💵 Sobra média / mês</t>
        </is>
      </c>
      <c r="L15" s="69" t="n"/>
      <c r="M15" s="69" t="n"/>
      <c r="N15" s="69" t="n"/>
      <c r="O15" s="69" t="n"/>
      <c r="P15" s="71">
        <f>IFERROR(Orcamento!$O$29/COUNTIF(Orcamento!$C$17:$N$17,"&gt;0"),0)</f>
        <v/>
      </c>
      <c r="Q15" s="69" t="n"/>
      <c r="R15" s="69" t="n"/>
    </row>
    <row r="16">
      <c r="B16" s="68" t="inlineStr">
        <is>
          <t xml:space="preserve">   ↳ valor gasto no ano</t>
        </is>
      </c>
      <c r="C16" s="69" t="n"/>
      <c r="D16" s="69" t="n"/>
      <c r="E16" s="69" t="n"/>
      <c r="F16" s="69" t="n"/>
      <c r="G16" s="71">
        <f>MAX(Orcamento!$O$5:$O$16)</f>
        <v/>
      </c>
      <c r="H16" s="69" t="n"/>
      <c r="I16" s="69" t="n"/>
      <c r="K16" s="68" t="inlineStr">
        <is>
          <t>🎯 Aporte médio / mês</t>
        </is>
      </c>
      <c r="L16" s="69" t="n"/>
      <c r="M16" s="69" t="n"/>
      <c r="N16" s="69" t="n"/>
      <c r="O16" s="69" t="n"/>
      <c r="P16" s="71">
        <f>IFERROR(AVERAGEIF(Orcamento!$C$28:$N$28,"&gt;0"),0)</f>
        <v/>
      </c>
      <c r="Q16" s="69" t="n"/>
      <c r="R16" s="69" t="n"/>
    </row>
    <row r="17">
      <c r="B17" s="68" t="inlineStr">
        <is>
          <t>📈 Mês de maior gasto</t>
        </is>
      </c>
      <c r="C17" s="69" t="n"/>
      <c r="D17" s="69" t="n"/>
      <c r="E17" s="69" t="n"/>
      <c r="F17" s="69" t="n"/>
      <c r="G17" s="70">
        <f>INDEX(Orcamento!$C$4:$N$4,MATCH(MAX(Orcamento!$C$17:$N$17),Orcamento!$C$17:$N$17,0))</f>
        <v/>
      </c>
      <c r="H17" s="69" t="n"/>
      <c r="I17" s="69" t="n"/>
      <c r="K17" s="68" t="inlineStr">
        <is>
          <t>🏦 Dividendos médios / mês</t>
        </is>
      </c>
      <c r="L17" s="69" t="n"/>
      <c r="M17" s="69" t="n"/>
      <c r="N17" s="69" t="n"/>
      <c r="O17" s="69" t="n"/>
      <c r="P17" s="71">
        <f>Carteira!$L$25/12</f>
        <v/>
      </c>
      <c r="Q17" s="69" t="n"/>
      <c r="R17" s="69" t="n"/>
    </row>
    <row r="18">
      <c r="B18" s="68" t="inlineStr">
        <is>
          <t>💸 Média de despesas / mês</t>
        </is>
      </c>
      <c r="C18" s="69" t="n"/>
      <c r="D18" s="69" t="n"/>
      <c r="E18" s="69" t="n"/>
      <c r="F18" s="69" t="n"/>
      <c r="G18" s="71">
        <f>IFERROR(AVERAGEIF(Orcamento!$C$17:$N$17,"&gt;0"),0)</f>
        <v/>
      </c>
      <c r="H18" s="69" t="n"/>
      <c r="I18" s="69" t="n"/>
      <c r="K18" s="68" t="inlineStr">
        <is>
          <t>📅 Meses já registrados</t>
        </is>
      </c>
      <c r="L18" s="69" t="n"/>
      <c r="M18" s="69" t="n"/>
      <c r="N18" s="69" t="n"/>
      <c r="O18" s="69" t="n"/>
      <c r="P18" s="72">
        <f>COUNTIF(Orcamento!$C$17:$N$17,"&gt;0")</f>
        <v/>
      </c>
      <c r="Q18" s="69" t="n"/>
      <c r="R18" s="69" t="n"/>
    </row>
    <row r="19">
      <c r="B19" s="68" t="inlineStr">
        <is>
          <t>💰 Média de receitas / mês</t>
        </is>
      </c>
      <c r="C19" s="69" t="n"/>
      <c r="D19" s="69" t="n"/>
      <c r="E19" s="69" t="n"/>
      <c r="F19" s="69" t="n"/>
      <c r="G19" s="71">
        <f>IFERROR(AVERAGEIF(Orcamento!$C$26:$N$26,"&gt;0"),0)</f>
        <v/>
      </c>
      <c r="H19" s="69" t="n"/>
      <c r="I19" s="69" t="n"/>
      <c r="K19" s="68" t="inlineStr">
        <is>
          <t>🔥 Anos até a independência</t>
        </is>
      </c>
      <c r="L19" s="69" t="n"/>
      <c r="M19" s="69" t="n"/>
      <c r="N19" s="69" t="n"/>
      <c r="O19" s="69" t="n"/>
      <c r="P19" s="73">
        <f>Independencia!$B$16</f>
        <v/>
      </c>
      <c r="Q19" s="69" t="n"/>
      <c r="R19" s="69" t="n"/>
    </row>
    <row r="58">
      <c r="B58" s="74" t="inlineStr">
        <is>
          <t>💡 Registre seus lançamentos diariamente na aba Lançamentos e atualize a Carteira e o Patrimônio mensalmente — todos os números, insights e gráficos deste painel se atualizam sozinhos.</t>
        </is>
      </c>
    </row>
    <row r="59"/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47">
    <mergeCell ref="K16:O16"/>
    <mergeCell ref="B16:F16"/>
    <mergeCell ref="G19:I19"/>
    <mergeCell ref="K15:O15"/>
    <mergeCell ref="Q8:T9"/>
    <mergeCell ref="G8:J9"/>
    <mergeCell ref="B12:E13"/>
    <mergeCell ref="B8:E9"/>
    <mergeCell ref="G18:I18"/>
    <mergeCell ref="L12:O13"/>
    <mergeCell ref="Q11:T11"/>
    <mergeCell ref="P17:R17"/>
    <mergeCell ref="A1:Q1"/>
    <mergeCell ref="L11:O11"/>
    <mergeCell ref="G15:I15"/>
    <mergeCell ref="B18:F18"/>
    <mergeCell ref="P16:R16"/>
    <mergeCell ref="L8:O9"/>
    <mergeCell ref="P19:R19"/>
    <mergeCell ref="Q4:T5"/>
    <mergeCell ref="Q7:T7"/>
    <mergeCell ref="Q3:T3"/>
    <mergeCell ref="B7:E7"/>
    <mergeCell ref="P18:R18"/>
    <mergeCell ref="L4:O5"/>
    <mergeCell ref="B3:E3"/>
    <mergeCell ref="L7:O7"/>
    <mergeCell ref="G11:J11"/>
    <mergeCell ref="B17:F17"/>
    <mergeCell ref="B14:R14"/>
    <mergeCell ref="G16:I16"/>
    <mergeCell ref="P15:R15"/>
    <mergeCell ref="L3:O3"/>
    <mergeCell ref="G4:J5"/>
    <mergeCell ref="B19:F19"/>
    <mergeCell ref="G7:J7"/>
    <mergeCell ref="B11:E11"/>
    <mergeCell ref="K17:O17"/>
    <mergeCell ref="G3:J3"/>
    <mergeCell ref="B4:E5"/>
    <mergeCell ref="B15:F15"/>
    <mergeCell ref="G12:J13"/>
    <mergeCell ref="G17:I17"/>
    <mergeCell ref="K19:O19"/>
    <mergeCell ref="Q12:T13"/>
    <mergeCell ref="B58:R59"/>
    <mergeCell ref="K18:O18"/>
  </mergeCells>
  <hyperlinks>
    <hyperlink ref="R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2" customWidth="1" min="4" max="4"/>
    <col width="14" customWidth="1" min="5" max="5"/>
    <col width="19" customWidth="1" min="6" max="6"/>
    <col width="6" customWidth="1" min="7" max="7"/>
    <col width="16" customWidth="1" min="8" max="8"/>
  </cols>
  <sheetData>
    <row r="1" ht="34" customHeight="1">
      <c r="A1" s="75" t="inlineStr">
        <is>
          <t>💰  CONTROLE FINANCEIRO — LANÇAMENTOS</t>
        </is>
      </c>
      <c r="H1" s="76" t="inlineStr">
        <is>
          <t>🏠 Início</t>
        </is>
      </c>
    </row>
    <row r="2" ht="26" customHeight="1">
      <c r="A2" s="77" t="inlineStr">
        <is>
          <t>Registre TODA entrada e saída. Use os menus suspensos. Mantenha em ordem de data e sem linhas em branco no meio para o Saldo em Caixa ficar correto. Mês e Saldo são automáticos.</t>
        </is>
      </c>
    </row>
    <row r="4" ht="26" customHeight="1">
      <c r="A4" s="78" t="inlineStr">
        <is>
          <t>Data</t>
        </is>
      </c>
      <c r="B4" s="78" t="inlineStr">
        <is>
          <t>Tipo</t>
        </is>
      </c>
      <c r="C4" s="78" t="inlineStr">
        <is>
          <t>Categoria</t>
        </is>
      </c>
      <c r="D4" s="78" t="inlineStr">
        <is>
          <t>Descrição</t>
        </is>
      </c>
      <c r="E4" s="78" t="inlineStr">
        <is>
          <t>Valor (R$)</t>
        </is>
      </c>
      <c r="F4" s="78" t="inlineStr">
        <is>
          <t>Forma de Pagamento</t>
        </is>
      </c>
      <c r="G4" s="78" t="inlineStr">
        <is>
          <t>Mês</t>
        </is>
      </c>
      <c r="H4" s="78" t="inlineStr">
        <is>
          <t>Saldo em Caixa</t>
        </is>
      </c>
    </row>
    <row r="5">
      <c r="A5" s="79" t="n">
        <v>46027</v>
      </c>
      <c r="B5" s="80" t="inlineStr">
        <is>
          <t>Receita</t>
        </is>
      </c>
      <c r="C5" s="80" t="inlineStr">
        <is>
          <t>Salário</t>
        </is>
      </c>
      <c r="D5" s="80" t="inlineStr">
        <is>
          <t>Salário mensal</t>
        </is>
      </c>
      <c r="E5" s="81" t="n">
        <v>8500</v>
      </c>
      <c r="F5" s="80" t="inlineStr">
        <is>
          <t>Transferência</t>
        </is>
      </c>
      <c r="G5" s="82">
        <f>IF($A5="","",MONTH($A5))</f>
        <v/>
      </c>
      <c r="H5" s="83">
        <f>IF($A5="","",SUMPRODUCT(($B$5:$B5="Receita")*$E$5:$E5)-SUMPRODUCT((($B$5:$B5="Despesa")+($B$5:$B5="Investimento"))*$E$5:$E5))</f>
        <v/>
      </c>
    </row>
    <row r="6">
      <c r="A6" s="79" t="n">
        <v>46027</v>
      </c>
      <c r="B6" s="80" t="inlineStr">
        <is>
          <t>Despesa</t>
        </is>
      </c>
      <c r="C6" s="80" t="inlineStr">
        <is>
          <t>Moradia</t>
        </is>
      </c>
      <c r="D6" s="80" t="inlineStr">
        <is>
          <t>Aluguel + condomínio</t>
        </is>
      </c>
      <c r="E6" s="81" t="n">
        <v>1800</v>
      </c>
      <c r="F6" s="80" t="inlineStr">
        <is>
          <t>Boleto</t>
        </is>
      </c>
      <c r="G6" s="82">
        <f>IF($A6="","",MONTH($A6))</f>
        <v/>
      </c>
      <c r="H6" s="83">
        <f>IF($A6="","",SUMPRODUCT(($B$5:$B6="Receita")*$E$5:$E6)-SUMPRODUCT((($B$5:$B6="Despesa")+($B$5:$B6="Investimento"))*$E$5:$E6))</f>
        <v/>
      </c>
    </row>
    <row r="7">
      <c r="A7" s="79" t="n">
        <v>46029</v>
      </c>
      <c r="B7" s="80" t="inlineStr">
        <is>
          <t>Despesa</t>
        </is>
      </c>
      <c r="C7" s="80" t="inlineStr">
        <is>
          <t>Assinaturas e Serviços</t>
        </is>
      </c>
      <c r="D7" s="80" t="inlineStr">
        <is>
          <t>Internet fibra</t>
        </is>
      </c>
      <c r="E7" s="81" t="n">
        <v>120</v>
      </c>
      <c r="F7" s="80" t="inlineStr">
        <is>
          <t>Débito Automático</t>
        </is>
      </c>
      <c r="G7" s="82">
        <f>IF($A7="","",MONTH($A7))</f>
        <v/>
      </c>
      <c r="H7" s="83">
        <f>IF($A7="","",SUMPRODUCT(($B$5:$B7="Receita")*$E$5:$E7)-SUMPRODUCT((($B$5:$B7="Despesa")+($B$5:$B7="Investimento"))*$E$5:$E7))</f>
        <v/>
      </c>
    </row>
    <row r="8">
      <c r="A8" s="79" t="n">
        <v>46030</v>
      </c>
      <c r="B8" s="80" t="inlineStr">
        <is>
          <t>Despesa</t>
        </is>
      </c>
      <c r="C8" s="80" t="inlineStr">
        <is>
          <t>Moradia</t>
        </is>
      </c>
      <c r="D8" s="80" t="inlineStr">
        <is>
          <t>Energia elétrica</t>
        </is>
      </c>
      <c r="E8" s="81" t="n">
        <v>210</v>
      </c>
      <c r="F8" s="80" t="inlineStr">
        <is>
          <t>Boleto</t>
        </is>
      </c>
      <c r="G8" s="82">
        <f>IF($A8="","",MONTH($A8))</f>
        <v/>
      </c>
      <c r="H8" s="83">
        <f>IF($A8="","",SUMPRODUCT(($B$5:$B8="Receita")*$E$5:$E8)-SUMPRODUCT((($B$5:$B8="Despesa")+($B$5:$B8="Investimento"))*$E$5:$E8))</f>
        <v/>
      </c>
    </row>
    <row r="9">
      <c r="A9" s="79" t="n">
        <v>46032</v>
      </c>
      <c r="B9" s="80" t="inlineStr">
        <is>
          <t>Despesa</t>
        </is>
      </c>
      <c r="C9" s="80" t="inlineStr">
        <is>
          <t>Saúde</t>
        </is>
      </c>
      <c r="D9" s="80" t="inlineStr">
        <is>
          <t>Plano de saúde</t>
        </is>
      </c>
      <c r="E9" s="81" t="n">
        <v>450</v>
      </c>
      <c r="F9" s="80" t="inlineStr">
        <is>
          <t>Débito Automático</t>
        </is>
      </c>
      <c r="G9" s="82">
        <f>IF($A9="","",MONTH($A9))</f>
        <v/>
      </c>
      <c r="H9" s="83">
        <f>IF($A9="","",SUMPRODUCT(($B$5:$B9="Receita")*$E$5:$E9)-SUMPRODUCT((($B$5:$B9="Despesa")+($B$5:$B9="Investimento"))*$E$5:$E9))</f>
        <v/>
      </c>
    </row>
    <row r="10">
      <c r="A10" s="79" t="n">
        <v>46032</v>
      </c>
      <c r="B10" s="80" t="inlineStr">
        <is>
          <t>Despesa</t>
        </is>
      </c>
      <c r="C10" s="80" t="inlineStr">
        <is>
          <t>Alimentação</t>
        </is>
      </c>
      <c r="D10" s="80" t="inlineStr">
        <is>
          <t>Supermercado do mês</t>
        </is>
      </c>
      <c r="E10" s="81" t="n">
        <v>980</v>
      </c>
      <c r="F10" s="80" t="inlineStr">
        <is>
          <t>Cartão de Crédito</t>
        </is>
      </c>
      <c r="G10" s="82">
        <f>IF($A10="","",MONTH($A10))</f>
        <v/>
      </c>
      <c r="H10" s="83">
        <f>IF($A10="","",SUMPRODUCT(($B$5:$B10="Receita")*$E$5:$E10)-SUMPRODUCT((($B$5:$B10="Despesa")+($B$5:$B10="Investimento"))*$E$5:$E10))</f>
        <v/>
      </c>
    </row>
    <row r="11">
      <c r="A11" s="79" t="n">
        <v>46034</v>
      </c>
      <c r="B11" s="80" t="inlineStr">
        <is>
          <t>Despesa</t>
        </is>
      </c>
      <c r="C11" s="80" t="inlineStr">
        <is>
          <t>Transporte</t>
        </is>
      </c>
      <c r="D11" s="80" t="inlineStr">
        <is>
          <t>Combustível</t>
        </is>
      </c>
      <c r="E11" s="81" t="n">
        <v>340</v>
      </c>
      <c r="F11" s="80" t="inlineStr">
        <is>
          <t>Cartão de Crédito</t>
        </is>
      </c>
      <c r="G11" s="82">
        <f>IF($A11="","",MONTH($A11))</f>
        <v/>
      </c>
      <c r="H11" s="83">
        <f>IF($A11="","",SUMPRODUCT(($B$5:$B11="Receita")*$E$5:$E11)-SUMPRODUCT((($B$5:$B11="Despesa")+($B$5:$B11="Investimento"))*$E$5:$E11))</f>
        <v/>
      </c>
    </row>
    <row r="12">
      <c r="A12" s="79" t="n">
        <v>46037</v>
      </c>
      <c r="B12" s="80" t="inlineStr">
        <is>
          <t>Investimento</t>
        </is>
      </c>
      <c r="C12" s="80" t="inlineStr">
        <is>
          <t>Aporte Investimentos</t>
        </is>
      </c>
      <c r="D12" s="80" t="inlineStr">
        <is>
          <t>Aporte na corretora</t>
        </is>
      </c>
      <c r="E12" s="81" t="n">
        <v>1500</v>
      </c>
      <c r="F12" s="80" t="inlineStr">
        <is>
          <t>Pix</t>
        </is>
      </c>
      <c r="G12" s="82">
        <f>IF($A12="","",MONTH($A12))</f>
        <v/>
      </c>
      <c r="H12" s="83">
        <f>IF($A12="","",SUMPRODUCT(($B$5:$B12="Receita")*$E$5:$E12)-SUMPRODUCT((($B$5:$B12="Despesa")+($B$5:$B12="Investimento"))*$E$5:$E12))</f>
        <v/>
      </c>
    </row>
    <row r="13">
      <c r="A13" s="79" t="n">
        <v>46037</v>
      </c>
      <c r="B13" s="80" t="inlineStr">
        <is>
          <t>Despesa</t>
        </is>
      </c>
      <c r="C13" s="80" t="inlineStr">
        <is>
          <t>Transporte</t>
        </is>
      </c>
      <c r="D13" s="80" t="inlineStr">
        <is>
          <t>IPVA 2026 (cota única)</t>
        </is>
      </c>
      <c r="E13" s="81" t="n">
        <v>1450</v>
      </c>
      <c r="F13" s="80" t="inlineStr">
        <is>
          <t>Pix</t>
        </is>
      </c>
      <c r="G13" s="82">
        <f>IF($A13="","",MONTH($A13))</f>
        <v/>
      </c>
      <c r="H13" s="83">
        <f>IF($A13="","",SUMPRODUCT(($B$5:$B13="Receita")*$E$5:$E13)-SUMPRODUCT((($B$5:$B13="Despesa")+($B$5:$B13="Investimento"))*$E$5:$E13))</f>
        <v/>
      </c>
    </row>
    <row r="14">
      <c r="A14" s="79" t="n">
        <v>46040</v>
      </c>
      <c r="B14" s="80" t="inlineStr">
        <is>
          <t>Despesa</t>
        </is>
      </c>
      <c r="C14" s="80" t="inlineStr">
        <is>
          <t>Lazer</t>
        </is>
      </c>
      <c r="D14" s="80" t="inlineStr">
        <is>
          <t>Restaurantes e delivery</t>
        </is>
      </c>
      <c r="E14" s="81" t="n">
        <v>260</v>
      </c>
      <c r="F14" s="80" t="inlineStr">
        <is>
          <t>Cartão de Crédito</t>
        </is>
      </c>
      <c r="G14" s="82">
        <f>IF($A14="","",MONTH($A14))</f>
        <v/>
      </c>
      <c r="H14" s="83">
        <f>IF($A14="","",SUMPRODUCT(($B$5:$B14="Receita")*$E$5:$E14)-SUMPRODUCT((($B$5:$B14="Despesa")+($B$5:$B14="Investimento"))*$E$5:$E14))</f>
        <v/>
      </c>
    </row>
    <row r="15">
      <c r="A15" s="79" t="n">
        <v>46042</v>
      </c>
      <c r="B15" s="80" t="inlineStr">
        <is>
          <t>Despesa</t>
        </is>
      </c>
      <c r="C15" s="80" t="inlineStr">
        <is>
          <t>Saúde</t>
        </is>
      </c>
      <c r="D15" s="80" t="inlineStr">
        <is>
          <t>Academia</t>
        </is>
      </c>
      <c r="E15" s="81" t="n">
        <v>110</v>
      </c>
      <c r="F15" s="80" t="inlineStr">
        <is>
          <t>Débito Automático</t>
        </is>
      </c>
      <c r="G15" s="82">
        <f>IF($A15="","",MONTH($A15))</f>
        <v/>
      </c>
      <c r="H15" s="83">
        <f>IF($A15="","",SUMPRODUCT(($B$5:$B15="Receita")*$E$5:$E15)-SUMPRODUCT((($B$5:$B15="Despesa")+($B$5:$B15="Investimento"))*$E$5:$E15))</f>
        <v/>
      </c>
    </row>
    <row r="16">
      <c r="A16" s="79" t="n">
        <v>46042</v>
      </c>
      <c r="B16" s="80" t="inlineStr">
        <is>
          <t>Despesa</t>
        </is>
      </c>
      <c r="C16" s="80" t="inlineStr">
        <is>
          <t>Educação</t>
        </is>
      </c>
      <c r="D16" s="80" t="inlineStr">
        <is>
          <t>Material escolar</t>
        </is>
      </c>
      <c r="E16" s="81" t="n">
        <v>320</v>
      </c>
      <c r="F16" s="80" t="inlineStr">
        <is>
          <t>Cartão de Crédito</t>
        </is>
      </c>
      <c r="G16" s="82">
        <f>IF($A16="","",MONTH($A16))</f>
        <v/>
      </c>
      <c r="H16" s="83">
        <f>IF($A16="","",SUMPRODUCT(($B$5:$B16="Receita")*$E$5:$E16)-SUMPRODUCT((($B$5:$B16="Despesa")+($B$5:$B16="Investimento"))*$E$5:$E16))</f>
        <v/>
      </c>
    </row>
    <row r="17">
      <c r="A17" s="79" t="n">
        <v>46044</v>
      </c>
      <c r="B17" s="80" t="inlineStr">
        <is>
          <t>Despesa</t>
        </is>
      </c>
      <c r="C17" s="80" t="inlineStr">
        <is>
          <t>Assinaturas e Serviços</t>
        </is>
      </c>
      <c r="D17" s="80" t="inlineStr">
        <is>
          <t>Streamings</t>
        </is>
      </c>
      <c r="E17" s="81" t="n">
        <v>65</v>
      </c>
      <c r="F17" s="80" t="inlineStr">
        <is>
          <t>Cartão de Crédito</t>
        </is>
      </c>
      <c r="G17" s="82">
        <f>IF($A17="","",MONTH($A17))</f>
        <v/>
      </c>
      <c r="H17" s="83">
        <f>IF($A17="","",SUMPRODUCT(($B$5:$B17="Receita")*$E$5:$E17)-SUMPRODUCT((($B$5:$B17="Despesa")+($B$5:$B17="Investimento"))*$E$5:$E17))</f>
        <v/>
      </c>
    </row>
    <row r="18">
      <c r="A18" s="79" t="n">
        <v>46047</v>
      </c>
      <c r="B18" s="80" t="inlineStr">
        <is>
          <t>Receita</t>
        </is>
      </c>
      <c r="C18" s="80" t="inlineStr">
        <is>
          <t>Dividendos e Proventos</t>
        </is>
      </c>
      <c r="D18" s="80" t="inlineStr">
        <is>
          <t>Dividendos da carteira</t>
        </is>
      </c>
      <c r="E18" s="81" t="n">
        <v>125</v>
      </c>
      <c r="F18" s="80" t="inlineStr">
        <is>
          <t>Transferência</t>
        </is>
      </c>
      <c r="G18" s="82">
        <f>IF($A18="","",MONTH($A18))</f>
        <v/>
      </c>
      <c r="H18" s="83">
        <f>IF($A18="","",SUMPRODUCT(($B$5:$B18="Receita")*$E$5:$E18)-SUMPRODUCT((($B$5:$B18="Despesa")+($B$5:$B18="Investimento"))*$E$5:$E18))</f>
        <v/>
      </c>
    </row>
    <row r="19">
      <c r="A19" s="79" t="n">
        <v>46049</v>
      </c>
      <c r="B19" s="80" t="inlineStr">
        <is>
          <t>Despesa</t>
        </is>
      </c>
      <c r="C19" s="80" t="inlineStr">
        <is>
          <t>Alimentação</t>
        </is>
      </c>
      <c r="D19" s="80" t="inlineStr">
        <is>
          <t>Feira e padaria</t>
        </is>
      </c>
      <c r="E19" s="81" t="n">
        <v>180</v>
      </c>
      <c r="F19" s="80" t="inlineStr">
        <is>
          <t>Pix</t>
        </is>
      </c>
      <c r="G19" s="82">
        <f>IF($A19="","",MONTH($A19))</f>
        <v/>
      </c>
      <c r="H19" s="83">
        <f>IF($A19="","",SUMPRODUCT(($B$5:$B19="Receita")*$E$5:$E19)-SUMPRODUCT((($B$5:$B19="Despesa")+($B$5:$B19="Investimento"))*$E$5:$E19))</f>
        <v/>
      </c>
    </row>
    <row r="20">
      <c r="A20" s="79" t="n">
        <v>46058</v>
      </c>
      <c r="B20" s="80" t="inlineStr">
        <is>
          <t>Receita</t>
        </is>
      </c>
      <c r="C20" s="80" t="inlineStr">
        <is>
          <t>Salário</t>
        </is>
      </c>
      <c r="D20" s="80" t="inlineStr">
        <is>
          <t>Salário mensal</t>
        </is>
      </c>
      <c r="E20" s="81" t="n">
        <v>8500</v>
      </c>
      <c r="F20" s="80" t="inlineStr">
        <is>
          <t>Transferência</t>
        </is>
      </c>
      <c r="G20" s="82">
        <f>IF($A20="","",MONTH($A20))</f>
        <v/>
      </c>
      <c r="H20" s="83">
        <f>IF($A20="","",SUMPRODUCT(($B$5:$B20="Receita")*$E$5:$E20)-SUMPRODUCT((($B$5:$B20="Despesa")+($B$5:$B20="Investimento"))*$E$5:$E20))</f>
        <v/>
      </c>
    </row>
    <row r="21">
      <c r="A21" s="79" t="n">
        <v>46058</v>
      </c>
      <c r="B21" s="80" t="inlineStr">
        <is>
          <t>Despesa</t>
        </is>
      </c>
      <c r="C21" s="80" t="inlineStr">
        <is>
          <t>Moradia</t>
        </is>
      </c>
      <c r="D21" s="80" t="inlineStr">
        <is>
          <t>Aluguel + condomínio</t>
        </is>
      </c>
      <c r="E21" s="81" t="n">
        <v>1800</v>
      </c>
      <c r="F21" s="80" t="inlineStr">
        <is>
          <t>Boleto</t>
        </is>
      </c>
      <c r="G21" s="82">
        <f>IF($A21="","",MONTH($A21))</f>
        <v/>
      </c>
      <c r="H21" s="83">
        <f>IF($A21="","",SUMPRODUCT(($B$5:$B21="Receita")*$E$5:$E21)-SUMPRODUCT((($B$5:$B21="Despesa")+($B$5:$B21="Investimento"))*$E$5:$E21))</f>
        <v/>
      </c>
    </row>
    <row r="22">
      <c r="A22" s="79" t="n">
        <v>46060</v>
      </c>
      <c r="B22" s="80" t="inlineStr">
        <is>
          <t>Despesa</t>
        </is>
      </c>
      <c r="C22" s="80" t="inlineStr">
        <is>
          <t>Assinaturas e Serviços</t>
        </is>
      </c>
      <c r="D22" s="80" t="inlineStr">
        <is>
          <t>Internet fibra</t>
        </is>
      </c>
      <c r="E22" s="81" t="n">
        <v>120</v>
      </c>
      <c r="F22" s="80" t="inlineStr">
        <is>
          <t>Débito Automático</t>
        </is>
      </c>
      <c r="G22" s="82">
        <f>IF($A22="","",MONTH($A22))</f>
        <v/>
      </c>
      <c r="H22" s="83">
        <f>IF($A22="","",SUMPRODUCT(($B$5:$B22="Receita")*$E$5:$E22)-SUMPRODUCT((($B$5:$B22="Despesa")+($B$5:$B22="Investimento"))*$E$5:$E22))</f>
        <v/>
      </c>
    </row>
    <row r="23">
      <c r="A23" s="79" t="n">
        <v>46061</v>
      </c>
      <c r="B23" s="80" t="inlineStr">
        <is>
          <t>Despesa</t>
        </is>
      </c>
      <c r="C23" s="80" t="inlineStr">
        <is>
          <t>Moradia</t>
        </is>
      </c>
      <c r="D23" s="80" t="inlineStr">
        <is>
          <t>Energia elétrica</t>
        </is>
      </c>
      <c r="E23" s="81" t="n">
        <v>195</v>
      </c>
      <c r="F23" s="80" t="inlineStr">
        <is>
          <t>Boleto</t>
        </is>
      </c>
      <c r="G23" s="82">
        <f>IF($A23="","",MONTH($A23))</f>
        <v/>
      </c>
      <c r="H23" s="83">
        <f>IF($A23="","",SUMPRODUCT(($B$5:$B23="Receita")*$E$5:$E23)-SUMPRODUCT((($B$5:$B23="Despesa")+($B$5:$B23="Investimento"))*$E$5:$E23))</f>
        <v/>
      </c>
    </row>
    <row r="24">
      <c r="A24" s="79" t="n">
        <v>46063</v>
      </c>
      <c r="B24" s="80" t="inlineStr">
        <is>
          <t>Receita</t>
        </is>
      </c>
      <c r="C24" s="80" t="inlineStr">
        <is>
          <t>Freelance / Renda Extra</t>
        </is>
      </c>
      <c r="D24" s="80" t="inlineStr">
        <is>
          <t>Projeto freelance</t>
        </is>
      </c>
      <c r="E24" s="81" t="n">
        <v>1200</v>
      </c>
      <c r="F24" s="80" t="inlineStr">
        <is>
          <t>Pix</t>
        </is>
      </c>
      <c r="G24" s="82">
        <f>IF($A24="","",MONTH($A24))</f>
        <v/>
      </c>
      <c r="H24" s="83">
        <f>IF($A24="","",SUMPRODUCT(($B$5:$B24="Receita")*$E$5:$E24)-SUMPRODUCT((($B$5:$B24="Despesa")+($B$5:$B24="Investimento"))*$E$5:$E24))</f>
        <v/>
      </c>
    </row>
    <row r="25">
      <c r="A25" s="79" t="n">
        <v>46063</v>
      </c>
      <c r="B25" s="80" t="inlineStr">
        <is>
          <t>Despesa</t>
        </is>
      </c>
      <c r="C25" s="80" t="inlineStr">
        <is>
          <t>Saúde</t>
        </is>
      </c>
      <c r="D25" s="80" t="inlineStr">
        <is>
          <t>Plano de saúde</t>
        </is>
      </c>
      <c r="E25" s="81" t="n">
        <v>450</v>
      </c>
      <c r="F25" s="80" t="inlineStr">
        <is>
          <t>Débito Automático</t>
        </is>
      </c>
      <c r="G25" s="82">
        <f>IF($A25="","",MONTH($A25))</f>
        <v/>
      </c>
      <c r="H25" s="83">
        <f>IF($A25="","",SUMPRODUCT(($B$5:$B25="Receita")*$E$5:$E25)-SUMPRODUCT((($B$5:$B25="Despesa")+($B$5:$B25="Investimento"))*$E$5:$E25))</f>
        <v/>
      </c>
    </row>
    <row r="26">
      <c r="A26" s="79" t="n">
        <v>46063</v>
      </c>
      <c r="B26" s="80" t="inlineStr">
        <is>
          <t>Despesa</t>
        </is>
      </c>
      <c r="C26" s="80" t="inlineStr">
        <is>
          <t>Alimentação</t>
        </is>
      </c>
      <c r="D26" s="80" t="inlineStr">
        <is>
          <t>Supermercado do mês</t>
        </is>
      </c>
      <c r="E26" s="81" t="n">
        <v>1040</v>
      </c>
      <c r="F26" s="80" t="inlineStr">
        <is>
          <t>Cartão de Crédito</t>
        </is>
      </c>
      <c r="G26" s="82">
        <f>IF($A26="","",MONTH($A26))</f>
        <v/>
      </c>
      <c r="H26" s="83">
        <f>IF($A26="","",SUMPRODUCT(($B$5:$B26="Receita")*$E$5:$E26)-SUMPRODUCT((($B$5:$B26="Despesa")+($B$5:$B26="Investimento"))*$E$5:$E26))</f>
        <v/>
      </c>
    </row>
    <row r="27">
      <c r="A27" s="79" t="n">
        <v>46065</v>
      </c>
      <c r="B27" s="80" t="inlineStr">
        <is>
          <t>Despesa</t>
        </is>
      </c>
      <c r="C27" s="80" t="inlineStr">
        <is>
          <t>Transporte</t>
        </is>
      </c>
      <c r="D27" s="80" t="inlineStr">
        <is>
          <t>Combustível</t>
        </is>
      </c>
      <c r="E27" s="81" t="n">
        <v>360</v>
      </c>
      <c r="F27" s="80" t="inlineStr">
        <is>
          <t>Cartão de Crédito</t>
        </is>
      </c>
      <c r="G27" s="82">
        <f>IF($A27="","",MONTH($A27))</f>
        <v/>
      </c>
      <c r="H27" s="83">
        <f>IF($A27="","",SUMPRODUCT(($B$5:$B27="Receita")*$E$5:$E27)-SUMPRODUCT((($B$5:$B27="Despesa")+($B$5:$B27="Investimento"))*$E$5:$E27))</f>
        <v/>
      </c>
    </row>
    <row r="28">
      <c r="A28" s="79" t="n">
        <v>46067</v>
      </c>
      <c r="B28" s="80" t="inlineStr">
        <is>
          <t>Despesa</t>
        </is>
      </c>
      <c r="C28" s="80" t="inlineStr">
        <is>
          <t>Lazer</t>
        </is>
      </c>
      <c r="D28" s="80" t="inlineStr">
        <is>
          <t>Jantar especial</t>
        </is>
      </c>
      <c r="E28" s="81" t="n">
        <v>180</v>
      </c>
      <c r="F28" s="80" t="inlineStr">
        <is>
          <t>Cartão de Crédito</t>
        </is>
      </c>
      <c r="G28" s="82">
        <f>IF($A28="","",MONTH($A28))</f>
        <v/>
      </c>
      <c r="H28" s="83">
        <f>IF($A28="","",SUMPRODUCT(($B$5:$B28="Receita")*$E$5:$E28)-SUMPRODUCT((($B$5:$B28="Despesa")+($B$5:$B28="Investimento"))*$E$5:$E28))</f>
        <v/>
      </c>
    </row>
    <row r="29">
      <c r="A29" s="79" t="n">
        <v>46068</v>
      </c>
      <c r="B29" s="80" t="inlineStr">
        <is>
          <t>Investimento</t>
        </is>
      </c>
      <c r="C29" s="80" t="inlineStr">
        <is>
          <t>Aporte Investimentos</t>
        </is>
      </c>
      <c r="D29" s="80" t="inlineStr">
        <is>
          <t>Aporte na corretora</t>
        </is>
      </c>
      <c r="E29" s="81" t="n">
        <v>1500</v>
      </c>
      <c r="F29" s="80" t="inlineStr">
        <is>
          <t>Pix</t>
        </is>
      </c>
      <c r="G29" s="82">
        <f>IF($A29="","",MONTH($A29))</f>
        <v/>
      </c>
      <c r="H29" s="83">
        <f>IF($A29="","",SUMPRODUCT(($B$5:$B29="Receita")*$E$5:$E29)-SUMPRODUCT((($B$5:$B29="Despesa")+($B$5:$B29="Investimento"))*$E$5:$E29))</f>
        <v/>
      </c>
    </row>
    <row r="30">
      <c r="A30" s="79" t="n">
        <v>46071</v>
      </c>
      <c r="B30" s="80" t="inlineStr">
        <is>
          <t>Despesa</t>
        </is>
      </c>
      <c r="C30" s="80" t="inlineStr">
        <is>
          <t>Lazer</t>
        </is>
      </c>
      <c r="D30" s="80" t="inlineStr">
        <is>
          <t>Restaurantes e delivery</t>
        </is>
      </c>
      <c r="E30" s="81" t="n">
        <v>230</v>
      </c>
      <c r="F30" s="80" t="inlineStr">
        <is>
          <t>Cartão de Crédito</t>
        </is>
      </c>
      <c r="G30" s="82">
        <f>IF($A30="","",MONTH($A30))</f>
        <v/>
      </c>
      <c r="H30" s="83">
        <f>IF($A30="","",SUMPRODUCT(($B$5:$B30="Receita")*$E$5:$E30)-SUMPRODUCT((($B$5:$B30="Despesa")+($B$5:$B30="Investimento"))*$E$5:$E30))</f>
        <v/>
      </c>
    </row>
    <row r="31">
      <c r="A31" s="79" t="n">
        <v>46073</v>
      </c>
      <c r="B31" s="80" t="inlineStr">
        <is>
          <t>Despesa</t>
        </is>
      </c>
      <c r="C31" s="80" t="inlineStr">
        <is>
          <t>Saúde</t>
        </is>
      </c>
      <c r="D31" s="80" t="inlineStr">
        <is>
          <t>Academia</t>
        </is>
      </c>
      <c r="E31" s="81" t="n">
        <v>110</v>
      </c>
      <c r="F31" s="80" t="inlineStr">
        <is>
          <t>Débito Automático</t>
        </is>
      </c>
      <c r="G31" s="82">
        <f>IF($A31="","",MONTH($A31))</f>
        <v/>
      </c>
      <c r="H31" s="83">
        <f>IF($A31="","",SUMPRODUCT(($B$5:$B31="Receita")*$E$5:$E31)-SUMPRODUCT((($B$5:$B31="Despesa")+($B$5:$B31="Investimento"))*$E$5:$E31))</f>
        <v/>
      </c>
    </row>
    <row r="32">
      <c r="A32" s="79" t="n">
        <v>46075</v>
      </c>
      <c r="B32" s="80" t="inlineStr">
        <is>
          <t>Despesa</t>
        </is>
      </c>
      <c r="C32" s="80" t="inlineStr">
        <is>
          <t>Assinaturas e Serviços</t>
        </is>
      </c>
      <c r="D32" s="80" t="inlineStr">
        <is>
          <t>Streamings</t>
        </is>
      </c>
      <c r="E32" s="81" t="n">
        <v>65</v>
      </c>
      <c r="F32" s="80" t="inlineStr">
        <is>
          <t>Cartão de Crédito</t>
        </is>
      </c>
      <c r="G32" s="82">
        <f>IF($A32="","",MONTH($A32))</f>
        <v/>
      </c>
      <c r="H32" s="83">
        <f>IF($A32="","",SUMPRODUCT(($B$5:$B32="Receita")*$E$5:$E32)-SUMPRODUCT((($B$5:$B32="Despesa")+($B$5:$B32="Investimento"))*$E$5:$E32))</f>
        <v/>
      </c>
    </row>
    <row r="33">
      <c r="A33" s="79" t="n">
        <v>46078</v>
      </c>
      <c r="B33" s="80" t="inlineStr">
        <is>
          <t>Receita</t>
        </is>
      </c>
      <c r="C33" s="80" t="inlineStr">
        <is>
          <t>Dividendos e Proventos</t>
        </is>
      </c>
      <c r="D33" s="80" t="inlineStr">
        <is>
          <t>Dividendos da carteira</t>
        </is>
      </c>
      <c r="E33" s="81" t="n">
        <v>140</v>
      </c>
      <c r="F33" s="80" t="inlineStr">
        <is>
          <t>Transferência</t>
        </is>
      </c>
      <c r="G33" s="82">
        <f>IF($A33="","",MONTH($A33))</f>
        <v/>
      </c>
      <c r="H33" s="83">
        <f>IF($A33="","",SUMPRODUCT(($B$5:$B33="Receita")*$E$5:$E33)-SUMPRODUCT((($B$5:$B33="Despesa")+($B$5:$B33="Investimento"))*$E$5:$E33))</f>
        <v/>
      </c>
    </row>
    <row r="34">
      <c r="A34" s="79" t="n">
        <v>46080</v>
      </c>
      <c r="B34" s="80" t="inlineStr">
        <is>
          <t>Despesa</t>
        </is>
      </c>
      <c r="C34" s="80" t="inlineStr">
        <is>
          <t>Alimentação</t>
        </is>
      </c>
      <c r="D34" s="80" t="inlineStr">
        <is>
          <t>Feira e padaria</t>
        </is>
      </c>
      <c r="E34" s="81" t="n">
        <v>165</v>
      </c>
      <c r="F34" s="80" t="inlineStr">
        <is>
          <t>Pix</t>
        </is>
      </c>
      <c r="G34" s="82">
        <f>IF($A34="","",MONTH($A34))</f>
        <v/>
      </c>
      <c r="H34" s="83">
        <f>IF($A34="","",SUMPRODUCT(($B$5:$B34="Receita")*$E$5:$E34)-SUMPRODUCT((($B$5:$B34="Despesa")+($B$5:$B34="Investimento"))*$E$5:$E34))</f>
        <v/>
      </c>
    </row>
    <row r="35">
      <c r="A35" s="79" t="n">
        <v>46086</v>
      </c>
      <c r="B35" s="80" t="inlineStr">
        <is>
          <t>Receita</t>
        </is>
      </c>
      <c r="C35" s="80" t="inlineStr">
        <is>
          <t>Salário</t>
        </is>
      </c>
      <c r="D35" s="80" t="inlineStr">
        <is>
          <t>Salário mensal</t>
        </is>
      </c>
      <c r="E35" s="81" t="n">
        <v>8500</v>
      </c>
      <c r="F35" s="80" t="inlineStr">
        <is>
          <t>Transferência</t>
        </is>
      </c>
      <c r="G35" s="82">
        <f>IF($A35="","",MONTH($A35))</f>
        <v/>
      </c>
      <c r="H35" s="83">
        <f>IF($A35="","",SUMPRODUCT(($B$5:$B35="Receita")*$E$5:$E35)-SUMPRODUCT((($B$5:$B35="Despesa")+($B$5:$B35="Investimento"))*$E$5:$E35))</f>
        <v/>
      </c>
    </row>
    <row r="36">
      <c r="A36" s="79" t="n">
        <v>46086</v>
      </c>
      <c r="B36" s="80" t="inlineStr">
        <is>
          <t>Despesa</t>
        </is>
      </c>
      <c r="C36" s="80" t="inlineStr">
        <is>
          <t>Moradia</t>
        </is>
      </c>
      <c r="D36" s="80" t="inlineStr">
        <is>
          <t>Aluguel + condomínio</t>
        </is>
      </c>
      <c r="E36" s="81" t="n">
        <v>1800</v>
      </c>
      <c r="F36" s="80" t="inlineStr">
        <is>
          <t>Boleto</t>
        </is>
      </c>
      <c r="G36" s="82">
        <f>IF($A36="","",MONTH($A36))</f>
        <v/>
      </c>
      <c r="H36" s="83">
        <f>IF($A36="","",SUMPRODUCT(($B$5:$B36="Receita")*$E$5:$E36)-SUMPRODUCT((($B$5:$B36="Despesa")+($B$5:$B36="Investimento"))*$E$5:$E36))</f>
        <v/>
      </c>
    </row>
    <row r="37">
      <c r="A37" s="79" t="n">
        <v>46088</v>
      </c>
      <c r="B37" s="80" t="inlineStr">
        <is>
          <t>Despesa</t>
        </is>
      </c>
      <c r="C37" s="80" t="inlineStr">
        <is>
          <t>Assinaturas e Serviços</t>
        </is>
      </c>
      <c r="D37" s="80" t="inlineStr">
        <is>
          <t>Internet fibra</t>
        </is>
      </c>
      <c r="E37" s="81" t="n">
        <v>120</v>
      </c>
      <c r="F37" s="80" t="inlineStr">
        <is>
          <t>Débito Automático</t>
        </is>
      </c>
      <c r="G37" s="82">
        <f>IF($A37="","",MONTH($A37))</f>
        <v/>
      </c>
      <c r="H37" s="83">
        <f>IF($A37="","",SUMPRODUCT(($B$5:$B37="Receita")*$E$5:$E37)-SUMPRODUCT((($B$5:$B37="Despesa")+($B$5:$B37="Investimento"))*$E$5:$E37))</f>
        <v/>
      </c>
    </row>
    <row r="38">
      <c r="A38" s="79" t="n">
        <v>46089</v>
      </c>
      <c r="B38" s="80" t="inlineStr">
        <is>
          <t>Despesa</t>
        </is>
      </c>
      <c r="C38" s="80" t="inlineStr">
        <is>
          <t>Moradia</t>
        </is>
      </c>
      <c r="D38" s="80" t="inlineStr">
        <is>
          <t>Energia elétrica</t>
        </is>
      </c>
      <c r="E38" s="81" t="n">
        <v>188</v>
      </c>
      <c r="F38" s="80" t="inlineStr">
        <is>
          <t>Boleto</t>
        </is>
      </c>
      <c r="G38" s="82">
        <f>IF($A38="","",MONTH($A38))</f>
        <v/>
      </c>
      <c r="H38" s="83">
        <f>IF($A38="","",SUMPRODUCT(($B$5:$B38="Receita")*$E$5:$E38)-SUMPRODUCT((($B$5:$B38="Despesa")+($B$5:$B38="Investimento"))*$E$5:$E38))</f>
        <v/>
      </c>
    </row>
    <row r="39">
      <c r="A39" s="79" t="n">
        <v>46089</v>
      </c>
      <c r="B39" s="80" t="inlineStr">
        <is>
          <t>Despesa</t>
        </is>
      </c>
      <c r="C39" s="80" t="inlineStr">
        <is>
          <t>Vestuário</t>
        </is>
      </c>
      <c r="D39" s="80" t="inlineStr">
        <is>
          <t>Roupas</t>
        </is>
      </c>
      <c r="E39" s="81" t="n">
        <v>240</v>
      </c>
      <c r="F39" s="80" t="inlineStr">
        <is>
          <t>Cartão de Crédito</t>
        </is>
      </c>
      <c r="G39" s="82">
        <f>IF($A39="","",MONTH($A39))</f>
        <v/>
      </c>
      <c r="H39" s="83">
        <f>IF($A39="","",SUMPRODUCT(($B$5:$B39="Receita")*$E$5:$E39)-SUMPRODUCT((($B$5:$B39="Despesa")+($B$5:$B39="Investimento"))*$E$5:$E39))</f>
        <v/>
      </c>
    </row>
    <row r="40">
      <c r="A40" s="79" t="n">
        <v>46091</v>
      </c>
      <c r="B40" s="80" t="inlineStr">
        <is>
          <t>Despesa</t>
        </is>
      </c>
      <c r="C40" s="80" t="inlineStr">
        <is>
          <t>Saúde</t>
        </is>
      </c>
      <c r="D40" s="80" t="inlineStr">
        <is>
          <t>Plano de saúde</t>
        </is>
      </c>
      <c r="E40" s="81" t="n">
        <v>450</v>
      </c>
      <c r="F40" s="80" t="inlineStr">
        <is>
          <t>Débito Automático</t>
        </is>
      </c>
      <c r="G40" s="82">
        <f>IF($A40="","",MONTH($A40))</f>
        <v/>
      </c>
      <c r="H40" s="83">
        <f>IF($A40="","",SUMPRODUCT(($B$5:$B40="Receita")*$E$5:$E40)-SUMPRODUCT((($B$5:$B40="Despesa")+($B$5:$B40="Investimento"))*$E$5:$E40))</f>
        <v/>
      </c>
    </row>
    <row r="41">
      <c r="A41" s="79" t="n">
        <v>46091</v>
      </c>
      <c r="B41" s="80" t="inlineStr">
        <is>
          <t>Despesa</t>
        </is>
      </c>
      <c r="C41" s="80" t="inlineStr">
        <is>
          <t>Alimentação</t>
        </is>
      </c>
      <c r="D41" s="80" t="inlineStr">
        <is>
          <t>Supermercado do mês</t>
        </is>
      </c>
      <c r="E41" s="81" t="n">
        <v>1010</v>
      </c>
      <c r="F41" s="80" t="inlineStr">
        <is>
          <t>Cartão de Crédito</t>
        </is>
      </c>
      <c r="G41" s="82">
        <f>IF($A41="","",MONTH($A41))</f>
        <v/>
      </c>
      <c r="H41" s="83">
        <f>IF($A41="","",SUMPRODUCT(($B$5:$B41="Receita")*$E$5:$E41)-SUMPRODUCT((($B$5:$B41="Despesa")+($B$5:$B41="Investimento"))*$E$5:$E41))</f>
        <v/>
      </c>
    </row>
    <row r="42">
      <c r="A42" s="79" t="n">
        <v>46093</v>
      </c>
      <c r="B42" s="80" t="inlineStr">
        <is>
          <t>Despesa</t>
        </is>
      </c>
      <c r="C42" s="80" t="inlineStr">
        <is>
          <t>Transporte</t>
        </is>
      </c>
      <c r="D42" s="80" t="inlineStr">
        <is>
          <t>Combustível</t>
        </is>
      </c>
      <c r="E42" s="81" t="n">
        <v>310</v>
      </c>
      <c r="F42" s="80" t="inlineStr">
        <is>
          <t>Cartão de Crédito</t>
        </is>
      </c>
      <c r="G42" s="82">
        <f>IF($A42="","",MONTH($A42))</f>
        <v/>
      </c>
      <c r="H42" s="83">
        <f>IF($A42="","",SUMPRODUCT(($B$5:$B42="Receita")*$E$5:$E42)-SUMPRODUCT((($B$5:$B42="Despesa")+($B$5:$B42="Investimento"))*$E$5:$E42))</f>
        <v/>
      </c>
    </row>
    <row r="43">
      <c r="A43" s="79" t="n">
        <v>46096</v>
      </c>
      <c r="B43" s="80" t="inlineStr">
        <is>
          <t>Investimento</t>
        </is>
      </c>
      <c r="C43" s="80" t="inlineStr">
        <is>
          <t>Aporte Investimentos</t>
        </is>
      </c>
      <c r="D43" s="80" t="inlineStr">
        <is>
          <t>Aporte na corretora</t>
        </is>
      </c>
      <c r="E43" s="81" t="n">
        <v>1500</v>
      </c>
      <c r="F43" s="80" t="inlineStr">
        <is>
          <t>Pix</t>
        </is>
      </c>
      <c r="G43" s="82">
        <f>IF($A43="","",MONTH($A43))</f>
        <v/>
      </c>
      <c r="H43" s="83">
        <f>IF($A43="","",SUMPRODUCT(($B$5:$B43="Receita")*$E$5:$E43)-SUMPRODUCT((($B$5:$B43="Despesa")+($B$5:$B43="Investimento"))*$E$5:$E43))</f>
        <v/>
      </c>
    </row>
    <row r="44">
      <c r="A44" s="79" t="n">
        <v>46099</v>
      </c>
      <c r="B44" s="80" t="inlineStr">
        <is>
          <t>Despesa</t>
        </is>
      </c>
      <c r="C44" s="80" t="inlineStr">
        <is>
          <t>Lazer</t>
        </is>
      </c>
      <c r="D44" s="80" t="inlineStr">
        <is>
          <t>Restaurantes e delivery</t>
        </is>
      </c>
      <c r="E44" s="81" t="n">
        <v>290</v>
      </c>
      <c r="F44" s="80" t="inlineStr">
        <is>
          <t>Cartão de Crédito</t>
        </is>
      </c>
      <c r="G44" s="82">
        <f>IF($A44="","",MONTH($A44))</f>
        <v/>
      </c>
      <c r="H44" s="83">
        <f>IF($A44="","",SUMPRODUCT(($B$5:$B44="Receita")*$E$5:$E44)-SUMPRODUCT((($B$5:$B44="Despesa")+($B$5:$B44="Investimento"))*$E$5:$E44))</f>
        <v/>
      </c>
    </row>
    <row r="45">
      <c r="A45" s="79" t="n">
        <v>46101</v>
      </c>
      <c r="B45" s="80" t="inlineStr">
        <is>
          <t>Despesa</t>
        </is>
      </c>
      <c r="C45" s="80" t="inlineStr">
        <is>
          <t>Saúde</t>
        </is>
      </c>
      <c r="D45" s="80" t="inlineStr">
        <is>
          <t>Academia</t>
        </is>
      </c>
      <c r="E45" s="81" t="n">
        <v>110</v>
      </c>
      <c r="F45" s="80" t="inlineStr">
        <is>
          <t>Débito Automático</t>
        </is>
      </c>
      <c r="G45" s="82">
        <f>IF($A45="","",MONTH($A45))</f>
        <v/>
      </c>
      <c r="H45" s="83">
        <f>IF($A45="","",SUMPRODUCT(($B$5:$B45="Receita")*$E$5:$E45)-SUMPRODUCT((($B$5:$B45="Despesa")+($B$5:$B45="Investimento"))*$E$5:$E45))</f>
        <v/>
      </c>
    </row>
    <row r="46">
      <c r="A46" s="79" t="n">
        <v>46103</v>
      </c>
      <c r="B46" s="80" t="inlineStr">
        <is>
          <t>Despesa</t>
        </is>
      </c>
      <c r="C46" s="80" t="inlineStr">
        <is>
          <t>Assinaturas e Serviços</t>
        </is>
      </c>
      <c r="D46" s="80" t="inlineStr">
        <is>
          <t>Streamings</t>
        </is>
      </c>
      <c r="E46" s="81" t="n">
        <v>65</v>
      </c>
      <c r="F46" s="80" t="inlineStr">
        <is>
          <t>Cartão de Crédito</t>
        </is>
      </c>
      <c r="G46" s="82">
        <f>IF($A46="","",MONTH($A46))</f>
        <v/>
      </c>
      <c r="H46" s="83">
        <f>IF($A46="","",SUMPRODUCT(($B$5:$B46="Receita")*$E$5:$E46)-SUMPRODUCT((($B$5:$B46="Despesa")+($B$5:$B46="Investimento"))*$E$5:$E46))</f>
        <v/>
      </c>
    </row>
    <row r="47">
      <c r="A47" s="79" t="n">
        <v>46106</v>
      </c>
      <c r="B47" s="80" t="inlineStr">
        <is>
          <t>Receita</t>
        </is>
      </c>
      <c r="C47" s="80" t="inlineStr">
        <is>
          <t>Dividendos e Proventos</t>
        </is>
      </c>
      <c r="D47" s="80" t="inlineStr">
        <is>
          <t>Dividendos da carteira</t>
        </is>
      </c>
      <c r="E47" s="81" t="n">
        <v>118</v>
      </c>
      <c r="F47" s="80" t="inlineStr">
        <is>
          <t>Transferência</t>
        </is>
      </c>
      <c r="G47" s="82">
        <f>IF($A47="","",MONTH($A47))</f>
        <v/>
      </c>
      <c r="H47" s="83">
        <f>IF($A47="","",SUMPRODUCT(($B$5:$B47="Receita")*$E$5:$E47)-SUMPRODUCT((($B$5:$B47="Despesa")+($B$5:$B47="Investimento"))*$E$5:$E47))</f>
        <v/>
      </c>
    </row>
    <row r="48">
      <c r="A48" s="79" t="n">
        <v>46108</v>
      </c>
      <c r="B48" s="80" t="inlineStr">
        <is>
          <t>Despesa</t>
        </is>
      </c>
      <c r="C48" s="80" t="inlineStr">
        <is>
          <t>Alimentação</t>
        </is>
      </c>
      <c r="D48" s="80" t="inlineStr">
        <is>
          <t>Feira e padaria</t>
        </is>
      </c>
      <c r="E48" s="81" t="n">
        <v>190</v>
      </c>
      <c r="F48" s="80" t="inlineStr">
        <is>
          <t>Pix</t>
        </is>
      </c>
      <c r="G48" s="82">
        <f>IF($A48="","",MONTH($A48))</f>
        <v/>
      </c>
      <c r="H48" s="83">
        <f>IF($A48="","",SUMPRODUCT(($B$5:$B48="Receita")*$E$5:$E48)-SUMPRODUCT((($B$5:$B48="Despesa")+($B$5:$B48="Investimento"))*$E$5:$E48))</f>
        <v/>
      </c>
    </row>
    <row r="49">
      <c r="A49" s="79" t="n">
        <v>46111</v>
      </c>
      <c r="B49" s="80" t="inlineStr">
        <is>
          <t>Despesa</t>
        </is>
      </c>
      <c r="C49" s="80" t="inlineStr">
        <is>
          <t>Saúde</t>
        </is>
      </c>
      <c r="D49" s="80" t="inlineStr">
        <is>
          <t>Consulta médica + farmácia</t>
        </is>
      </c>
      <c r="E49" s="81" t="n">
        <v>280</v>
      </c>
      <c r="F49" s="80" t="inlineStr">
        <is>
          <t>Pix</t>
        </is>
      </c>
      <c r="G49" s="82">
        <f>IF($A49="","",MONTH($A49))</f>
        <v/>
      </c>
      <c r="H49" s="83">
        <f>IF($A49="","",SUMPRODUCT(($B$5:$B49="Receita")*$E$5:$E49)-SUMPRODUCT((($B$5:$B49="Despesa")+($B$5:$B49="Investimento"))*$E$5:$E49))</f>
        <v/>
      </c>
    </row>
    <row r="50">
      <c r="A50" s="79" t="n">
        <v>46117</v>
      </c>
      <c r="B50" s="80" t="inlineStr">
        <is>
          <t>Receita</t>
        </is>
      </c>
      <c r="C50" s="80" t="inlineStr">
        <is>
          <t>Salário</t>
        </is>
      </c>
      <c r="D50" s="80" t="inlineStr">
        <is>
          <t>Salário mensal</t>
        </is>
      </c>
      <c r="E50" s="81" t="n">
        <v>8500</v>
      </c>
      <c r="F50" s="80" t="inlineStr">
        <is>
          <t>Transferência</t>
        </is>
      </c>
      <c r="G50" s="82">
        <f>IF($A50="","",MONTH($A50))</f>
        <v/>
      </c>
      <c r="H50" s="83">
        <f>IF($A50="","",SUMPRODUCT(($B$5:$B50="Receita")*$E$5:$E50)-SUMPRODUCT((($B$5:$B50="Despesa")+($B$5:$B50="Investimento"))*$E$5:$E50))</f>
        <v/>
      </c>
    </row>
    <row r="51">
      <c r="A51" s="79" t="n">
        <v>46117</v>
      </c>
      <c r="B51" s="80" t="inlineStr">
        <is>
          <t>Despesa</t>
        </is>
      </c>
      <c r="C51" s="80" t="inlineStr">
        <is>
          <t>Moradia</t>
        </is>
      </c>
      <c r="D51" s="80" t="inlineStr">
        <is>
          <t>Aluguel + condomínio</t>
        </is>
      </c>
      <c r="E51" s="81" t="n">
        <v>1800</v>
      </c>
      <c r="F51" s="80" t="inlineStr">
        <is>
          <t>Boleto</t>
        </is>
      </c>
      <c r="G51" s="82">
        <f>IF($A51="","",MONTH($A51))</f>
        <v/>
      </c>
      <c r="H51" s="83">
        <f>IF($A51="","",SUMPRODUCT(($B$5:$B51="Receita")*$E$5:$E51)-SUMPRODUCT((($B$5:$B51="Despesa")+($B$5:$B51="Investimento"))*$E$5:$E51))</f>
        <v/>
      </c>
    </row>
    <row r="52">
      <c r="A52" s="79" t="n">
        <v>46119</v>
      </c>
      <c r="B52" s="80" t="inlineStr">
        <is>
          <t>Despesa</t>
        </is>
      </c>
      <c r="C52" s="80" t="inlineStr">
        <is>
          <t>Assinaturas e Serviços</t>
        </is>
      </c>
      <c r="D52" s="80" t="inlineStr">
        <is>
          <t>Internet fibra</t>
        </is>
      </c>
      <c r="E52" s="81" t="n">
        <v>120</v>
      </c>
      <c r="F52" s="80" t="inlineStr">
        <is>
          <t>Débito Automático</t>
        </is>
      </c>
      <c r="G52" s="82">
        <f>IF($A52="","",MONTH($A52))</f>
        <v/>
      </c>
      <c r="H52" s="83">
        <f>IF($A52="","",SUMPRODUCT(($B$5:$B52="Receita")*$E$5:$E52)-SUMPRODUCT((($B$5:$B52="Despesa")+($B$5:$B52="Investimento"))*$E$5:$E52))</f>
        <v/>
      </c>
    </row>
    <row r="53">
      <c r="A53" s="79" t="n">
        <v>46120</v>
      </c>
      <c r="B53" s="80" t="inlineStr">
        <is>
          <t>Despesa</t>
        </is>
      </c>
      <c r="C53" s="80" t="inlineStr">
        <is>
          <t>Moradia</t>
        </is>
      </c>
      <c r="D53" s="80" t="inlineStr">
        <is>
          <t>Energia elétrica</t>
        </is>
      </c>
      <c r="E53" s="81" t="n">
        <v>176</v>
      </c>
      <c r="F53" s="80" t="inlineStr">
        <is>
          <t>Boleto</t>
        </is>
      </c>
      <c r="G53" s="82">
        <f>IF($A53="","",MONTH($A53))</f>
        <v/>
      </c>
      <c r="H53" s="83">
        <f>IF($A53="","",SUMPRODUCT(($B$5:$B53="Receita")*$E$5:$E53)-SUMPRODUCT((($B$5:$B53="Despesa")+($B$5:$B53="Investimento"))*$E$5:$E53))</f>
        <v/>
      </c>
    </row>
    <row r="54">
      <c r="A54" s="79" t="n">
        <v>46122</v>
      </c>
      <c r="B54" s="80" t="inlineStr">
        <is>
          <t>Despesa</t>
        </is>
      </c>
      <c r="C54" s="80" t="inlineStr">
        <is>
          <t>Saúde</t>
        </is>
      </c>
      <c r="D54" s="80" t="inlineStr">
        <is>
          <t>Plano de saúde</t>
        </is>
      </c>
      <c r="E54" s="81" t="n">
        <v>450</v>
      </c>
      <c r="F54" s="80" t="inlineStr">
        <is>
          <t>Débito Automático</t>
        </is>
      </c>
      <c r="G54" s="82">
        <f>IF($A54="","",MONTH($A54))</f>
        <v/>
      </c>
      <c r="H54" s="83">
        <f>IF($A54="","",SUMPRODUCT(($B$5:$B54="Receita")*$E$5:$E54)-SUMPRODUCT((($B$5:$B54="Despesa")+($B$5:$B54="Investimento"))*$E$5:$E54))</f>
        <v/>
      </c>
    </row>
    <row r="55">
      <c r="A55" s="79" t="n">
        <v>46122</v>
      </c>
      <c r="B55" s="80" t="inlineStr">
        <is>
          <t>Despesa</t>
        </is>
      </c>
      <c r="C55" s="80" t="inlineStr">
        <is>
          <t>Alimentação</t>
        </is>
      </c>
      <c r="D55" s="80" t="inlineStr">
        <is>
          <t>Supermercado do mês</t>
        </is>
      </c>
      <c r="E55" s="81" t="n">
        <v>955</v>
      </c>
      <c r="F55" s="80" t="inlineStr">
        <is>
          <t>Cartão de Crédito</t>
        </is>
      </c>
      <c r="G55" s="82">
        <f>IF($A55="","",MONTH($A55))</f>
        <v/>
      </c>
      <c r="H55" s="83">
        <f>IF($A55="","",SUMPRODUCT(($B$5:$B55="Receita")*$E$5:$E55)-SUMPRODUCT((($B$5:$B55="Despesa")+($B$5:$B55="Investimento"))*$E$5:$E55))</f>
        <v/>
      </c>
    </row>
    <row r="56">
      <c r="A56" s="79" t="n">
        <v>46124</v>
      </c>
      <c r="B56" s="80" t="inlineStr">
        <is>
          <t>Despesa</t>
        </is>
      </c>
      <c r="C56" s="80" t="inlineStr">
        <is>
          <t>Transporte</t>
        </is>
      </c>
      <c r="D56" s="80" t="inlineStr">
        <is>
          <t>Combustível</t>
        </is>
      </c>
      <c r="E56" s="81" t="n">
        <v>335</v>
      </c>
      <c r="F56" s="80" t="inlineStr">
        <is>
          <t>Cartão de Crédito</t>
        </is>
      </c>
      <c r="G56" s="82">
        <f>IF($A56="","",MONTH($A56))</f>
        <v/>
      </c>
      <c r="H56" s="83">
        <f>IF($A56="","",SUMPRODUCT(($B$5:$B56="Receita")*$E$5:$E56)-SUMPRODUCT((($B$5:$B56="Despesa")+($B$5:$B56="Investimento"))*$E$5:$E56))</f>
        <v/>
      </c>
    </row>
    <row r="57">
      <c r="A57" s="79" t="n">
        <v>46124</v>
      </c>
      <c r="B57" s="80" t="inlineStr">
        <is>
          <t>Despesa</t>
        </is>
      </c>
      <c r="C57" s="80" t="inlineStr">
        <is>
          <t>Lazer</t>
        </is>
      </c>
      <c r="D57" s="80" t="inlineStr">
        <is>
          <t>Viagem de feriado</t>
        </is>
      </c>
      <c r="E57" s="81" t="n">
        <v>850</v>
      </c>
      <c r="F57" s="80" t="inlineStr">
        <is>
          <t>Cartão de Crédito</t>
        </is>
      </c>
      <c r="G57" s="82">
        <f>IF($A57="","",MONTH($A57))</f>
        <v/>
      </c>
      <c r="H57" s="83">
        <f>IF($A57="","",SUMPRODUCT(($B$5:$B57="Receita")*$E$5:$E57)-SUMPRODUCT((($B$5:$B57="Despesa")+($B$5:$B57="Investimento"))*$E$5:$E57))</f>
        <v/>
      </c>
    </row>
    <row r="58">
      <c r="A58" s="79" t="n">
        <v>46127</v>
      </c>
      <c r="B58" s="80" t="inlineStr">
        <is>
          <t>Investimento</t>
        </is>
      </c>
      <c r="C58" s="80" t="inlineStr">
        <is>
          <t>Aporte Investimentos</t>
        </is>
      </c>
      <c r="D58" s="80" t="inlineStr">
        <is>
          <t>Aporte na corretora</t>
        </is>
      </c>
      <c r="E58" s="81" t="n">
        <v>1500</v>
      </c>
      <c r="F58" s="80" t="inlineStr">
        <is>
          <t>Pix</t>
        </is>
      </c>
      <c r="G58" s="82">
        <f>IF($A58="","",MONTH($A58))</f>
        <v/>
      </c>
      <c r="H58" s="83">
        <f>IF($A58="","",SUMPRODUCT(($B$5:$B58="Receita")*$E$5:$E58)-SUMPRODUCT((($B$5:$B58="Despesa")+($B$5:$B58="Investimento"))*$E$5:$E58))</f>
        <v/>
      </c>
    </row>
    <row r="59">
      <c r="A59" s="79" t="n">
        <v>46130</v>
      </c>
      <c r="B59" s="80" t="inlineStr">
        <is>
          <t>Despesa</t>
        </is>
      </c>
      <c r="C59" s="80" t="inlineStr">
        <is>
          <t>Lazer</t>
        </is>
      </c>
      <c r="D59" s="80" t="inlineStr">
        <is>
          <t>Restaurantes e delivery</t>
        </is>
      </c>
      <c r="E59" s="81" t="n">
        <v>245</v>
      </c>
      <c r="F59" s="80" t="inlineStr">
        <is>
          <t>Cartão de Crédito</t>
        </is>
      </c>
      <c r="G59" s="82">
        <f>IF($A59="","",MONTH($A59))</f>
        <v/>
      </c>
      <c r="H59" s="83">
        <f>IF($A59="","",SUMPRODUCT(($B$5:$B59="Receita")*$E$5:$E59)-SUMPRODUCT((($B$5:$B59="Despesa")+($B$5:$B59="Investimento"))*$E$5:$E59))</f>
        <v/>
      </c>
    </row>
    <row r="60">
      <c r="A60" s="79" t="n">
        <v>46132</v>
      </c>
      <c r="B60" s="80" t="inlineStr">
        <is>
          <t>Despesa</t>
        </is>
      </c>
      <c r="C60" s="80" t="inlineStr">
        <is>
          <t>Saúde</t>
        </is>
      </c>
      <c r="D60" s="80" t="inlineStr">
        <is>
          <t>Academia</t>
        </is>
      </c>
      <c r="E60" s="81" t="n">
        <v>110</v>
      </c>
      <c r="F60" s="80" t="inlineStr">
        <is>
          <t>Débito Automático</t>
        </is>
      </c>
      <c r="G60" s="82">
        <f>IF($A60="","",MONTH($A60))</f>
        <v/>
      </c>
      <c r="H60" s="83">
        <f>IF($A60="","",SUMPRODUCT(($B$5:$B60="Receita")*$E$5:$E60)-SUMPRODUCT((($B$5:$B60="Despesa")+($B$5:$B60="Investimento"))*$E$5:$E60))</f>
        <v/>
      </c>
    </row>
    <row r="61">
      <c r="A61" s="79" t="n">
        <v>46134</v>
      </c>
      <c r="B61" s="80" t="inlineStr">
        <is>
          <t>Despesa</t>
        </is>
      </c>
      <c r="C61" s="80" t="inlineStr">
        <is>
          <t>Assinaturas e Serviços</t>
        </is>
      </c>
      <c r="D61" s="80" t="inlineStr">
        <is>
          <t>Streamings</t>
        </is>
      </c>
      <c r="E61" s="81" t="n">
        <v>65</v>
      </c>
      <c r="F61" s="80" t="inlineStr">
        <is>
          <t>Cartão de Crédito</t>
        </is>
      </c>
      <c r="G61" s="82">
        <f>IF($A61="","",MONTH($A61))</f>
        <v/>
      </c>
      <c r="H61" s="83">
        <f>IF($A61="","",SUMPRODUCT(($B$5:$B61="Receita")*$E$5:$E61)-SUMPRODUCT((($B$5:$B61="Despesa")+($B$5:$B61="Investimento"))*$E$5:$E61))</f>
        <v/>
      </c>
    </row>
    <row r="62">
      <c r="A62" s="79" t="n">
        <v>46137</v>
      </c>
      <c r="B62" s="80" t="inlineStr">
        <is>
          <t>Receita</t>
        </is>
      </c>
      <c r="C62" s="80" t="inlineStr">
        <is>
          <t>Dividendos e Proventos</t>
        </is>
      </c>
      <c r="D62" s="80" t="inlineStr">
        <is>
          <t>Dividendos da carteira</t>
        </is>
      </c>
      <c r="E62" s="81" t="n">
        <v>162</v>
      </c>
      <c r="F62" s="80" t="inlineStr">
        <is>
          <t>Transferência</t>
        </is>
      </c>
      <c r="G62" s="82">
        <f>IF($A62="","",MONTH($A62))</f>
        <v/>
      </c>
      <c r="H62" s="83">
        <f>IF($A62="","",SUMPRODUCT(($B$5:$B62="Receita")*$E$5:$E62)-SUMPRODUCT((($B$5:$B62="Despesa")+($B$5:$B62="Investimento"))*$E$5:$E62))</f>
        <v/>
      </c>
    </row>
    <row r="63">
      <c r="A63" s="79" t="n">
        <v>46139</v>
      </c>
      <c r="B63" s="80" t="inlineStr">
        <is>
          <t>Despesa</t>
        </is>
      </c>
      <c r="C63" s="80" t="inlineStr">
        <is>
          <t>Alimentação</t>
        </is>
      </c>
      <c r="D63" s="80" t="inlineStr">
        <is>
          <t>Feira e padaria</t>
        </is>
      </c>
      <c r="E63" s="81" t="n">
        <v>172</v>
      </c>
      <c r="F63" s="80" t="inlineStr">
        <is>
          <t>Pix</t>
        </is>
      </c>
      <c r="G63" s="82">
        <f>IF($A63="","",MONTH($A63))</f>
        <v/>
      </c>
      <c r="H63" s="83">
        <f>IF($A63="","",SUMPRODUCT(($B$5:$B63="Receita")*$E$5:$E63)-SUMPRODUCT((($B$5:$B63="Despesa")+($B$5:$B63="Investimento"))*$E$5:$E63))</f>
        <v/>
      </c>
    </row>
    <row r="64">
      <c r="A64" s="79" t="n">
        <v>46147</v>
      </c>
      <c r="B64" s="80" t="inlineStr">
        <is>
          <t>Receita</t>
        </is>
      </c>
      <c r="C64" s="80" t="inlineStr">
        <is>
          <t>Salário</t>
        </is>
      </c>
      <c r="D64" s="80" t="inlineStr">
        <is>
          <t>Salário mensal</t>
        </is>
      </c>
      <c r="E64" s="81" t="n">
        <v>8500</v>
      </c>
      <c r="F64" s="80" t="inlineStr">
        <is>
          <t>Transferência</t>
        </is>
      </c>
      <c r="G64" s="82">
        <f>IF($A64="","",MONTH($A64))</f>
        <v/>
      </c>
      <c r="H64" s="83">
        <f>IF($A64="","",SUMPRODUCT(($B$5:$B64="Receita")*$E$5:$E64)-SUMPRODUCT((($B$5:$B64="Despesa")+($B$5:$B64="Investimento"))*$E$5:$E64))</f>
        <v/>
      </c>
    </row>
    <row r="65">
      <c r="A65" s="79" t="n">
        <v>46147</v>
      </c>
      <c r="B65" s="80" t="inlineStr">
        <is>
          <t>Receita</t>
        </is>
      </c>
      <c r="C65" s="80" t="inlineStr">
        <is>
          <t>Freelance / Renda Extra</t>
        </is>
      </c>
      <c r="D65" s="80" t="inlineStr">
        <is>
          <t>Consultoria</t>
        </is>
      </c>
      <c r="E65" s="81" t="n">
        <v>900</v>
      </c>
      <c r="F65" s="80" t="inlineStr">
        <is>
          <t>Pix</t>
        </is>
      </c>
      <c r="G65" s="82">
        <f>IF($A65="","",MONTH($A65))</f>
        <v/>
      </c>
      <c r="H65" s="83">
        <f>IF($A65="","",SUMPRODUCT(($B$5:$B65="Receita")*$E$5:$E65)-SUMPRODUCT((($B$5:$B65="Despesa")+($B$5:$B65="Investimento"))*$E$5:$E65))</f>
        <v/>
      </c>
    </row>
    <row r="66">
      <c r="A66" s="79" t="n">
        <v>46147</v>
      </c>
      <c r="B66" s="80" t="inlineStr">
        <is>
          <t>Despesa</t>
        </is>
      </c>
      <c r="C66" s="80" t="inlineStr">
        <is>
          <t>Moradia</t>
        </is>
      </c>
      <c r="D66" s="80" t="inlineStr">
        <is>
          <t>Aluguel + condomínio</t>
        </is>
      </c>
      <c r="E66" s="81" t="n">
        <v>1800</v>
      </c>
      <c r="F66" s="80" t="inlineStr">
        <is>
          <t>Boleto</t>
        </is>
      </c>
      <c r="G66" s="82">
        <f>IF($A66="","",MONTH($A66))</f>
        <v/>
      </c>
      <c r="H66" s="83">
        <f>IF($A66="","",SUMPRODUCT(($B$5:$B66="Receita")*$E$5:$E66)-SUMPRODUCT((($B$5:$B66="Despesa")+($B$5:$B66="Investimento"))*$E$5:$E66))</f>
        <v/>
      </c>
    </row>
    <row r="67">
      <c r="A67" s="79" t="n">
        <v>46149</v>
      </c>
      <c r="B67" s="80" t="inlineStr">
        <is>
          <t>Despesa</t>
        </is>
      </c>
      <c r="C67" s="80" t="inlineStr">
        <is>
          <t>Assinaturas e Serviços</t>
        </is>
      </c>
      <c r="D67" s="80" t="inlineStr">
        <is>
          <t>Internet fibra</t>
        </is>
      </c>
      <c r="E67" s="81" t="n">
        <v>120</v>
      </c>
      <c r="F67" s="80" t="inlineStr">
        <is>
          <t>Débito Automático</t>
        </is>
      </c>
      <c r="G67" s="82">
        <f>IF($A67="","",MONTH($A67))</f>
        <v/>
      </c>
      <c r="H67" s="83">
        <f>IF($A67="","",SUMPRODUCT(($B$5:$B67="Receita")*$E$5:$E67)-SUMPRODUCT((($B$5:$B67="Despesa")+($B$5:$B67="Investimento"))*$E$5:$E67))</f>
        <v/>
      </c>
    </row>
    <row r="68">
      <c r="A68" s="79" t="n">
        <v>46150</v>
      </c>
      <c r="B68" s="80" t="inlineStr">
        <is>
          <t>Despesa</t>
        </is>
      </c>
      <c r="C68" s="80" t="inlineStr">
        <is>
          <t>Moradia</t>
        </is>
      </c>
      <c r="D68" s="80" t="inlineStr">
        <is>
          <t>Energia elétrica</t>
        </is>
      </c>
      <c r="E68" s="81" t="n">
        <v>182</v>
      </c>
      <c r="F68" s="80" t="inlineStr">
        <is>
          <t>Boleto</t>
        </is>
      </c>
      <c r="G68" s="82">
        <f>IF($A68="","",MONTH($A68))</f>
        <v/>
      </c>
      <c r="H68" s="83">
        <f>IF($A68="","",SUMPRODUCT(($B$5:$B68="Receita")*$E$5:$E68)-SUMPRODUCT((($B$5:$B68="Despesa")+($B$5:$B68="Investimento"))*$E$5:$E68))</f>
        <v/>
      </c>
    </row>
    <row r="69">
      <c r="A69" s="79" t="n">
        <v>46152</v>
      </c>
      <c r="B69" s="80" t="inlineStr">
        <is>
          <t>Despesa</t>
        </is>
      </c>
      <c r="C69" s="80" t="inlineStr">
        <is>
          <t>Saúde</t>
        </is>
      </c>
      <c r="D69" s="80" t="inlineStr">
        <is>
          <t>Plano de saúde</t>
        </is>
      </c>
      <c r="E69" s="81" t="n">
        <v>450</v>
      </c>
      <c r="F69" s="80" t="inlineStr">
        <is>
          <t>Débito Automático</t>
        </is>
      </c>
      <c r="G69" s="82">
        <f>IF($A69="","",MONTH($A69))</f>
        <v/>
      </c>
      <c r="H69" s="83">
        <f>IF($A69="","",SUMPRODUCT(($B$5:$B69="Receita")*$E$5:$E69)-SUMPRODUCT((($B$5:$B69="Despesa")+($B$5:$B69="Investimento"))*$E$5:$E69))</f>
        <v/>
      </c>
    </row>
    <row r="70">
      <c r="A70" s="79" t="n">
        <v>46152</v>
      </c>
      <c r="B70" s="80" t="inlineStr">
        <is>
          <t>Despesa</t>
        </is>
      </c>
      <c r="C70" s="80" t="inlineStr">
        <is>
          <t>Alimentação</t>
        </is>
      </c>
      <c r="D70" s="80" t="inlineStr">
        <is>
          <t>Supermercado do mês</t>
        </is>
      </c>
      <c r="E70" s="81" t="n">
        <v>1100</v>
      </c>
      <c r="F70" s="80" t="inlineStr">
        <is>
          <t>Cartão de Crédito</t>
        </is>
      </c>
      <c r="G70" s="82">
        <f>IF($A70="","",MONTH($A70))</f>
        <v/>
      </c>
      <c r="H70" s="83">
        <f>IF($A70="","",SUMPRODUCT(($B$5:$B70="Receita")*$E$5:$E70)-SUMPRODUCT((($B$5:$B70="Despesa")+($B$5:$B70="Investimento"))*$E$5:$E70))</f>
        <v/>
      </c>
    </row>
    <row r="71">
      <c r="A71" s="79" t="n">
        <v>46154</v>
      </c>
      <c r="B71" s="80" t="inlineStr">
        <is>
          <t>Despesa</t>
        </is>
      </c>
      <c r="C71" s="80" t="inlineStr">
        <is>
          <t>Transporte</t>
        </is>
      </c>
      <c r="D71" s="80" t="inlineStr">
        <is>
          <t>Combustível</t>
        </is>
      </c>
      <c r="E71" s="81" t="n">
        <v>355</v>
      </c>
      <c r="F71" s="80" t="inlineStr">
        <is>
          <t>Cartão de Crédito</t>
        </is>
      </c>
      <c r="G71" s="82">
        <f>IF($A71="","",MONTH($A71))</f>
        <v/>
      </c>
      <c r="H71" s="83">
        <f>IF($A71="","",SUMPRODUCT(($B$5:$B71="Receita")*$E$5:$E71)-SUMPRODUCT((($B$5:$B71="Despesa")+($B$5:$B71="Investimento"))*$E$5:$E71))</f>
        <v/>
      </c>
    </row>
    <row r="72">
      <c r="A72" s="79" t="n">
        <v>46157</v>
      </c>
      <c r="B72" s="80" t="inlineStr">
        <is>
          <t>Investimento</t>
        </is>
      </c>
      <c r="C72" s="80" t="inlineStr">
        <is>
          <t>Aporte Investimentos</t>
        </is>
      </c>
      <c r="D72" s="80" t="inlineStr">
        <is>
          <t>Aporte na corretora</t>
        </is>
      </c>
      <c r="E72" s="81" t="n">
        <v>1500</v>
      </c>
      <c r="F72" s="80" t="inlineStr">
        <is>
          <t>Pix</t>
        </is>
      </c>
      <c r="G72" s="82">
        <f>IF($A72="","",MONTH($A72))</f>
        <v/>
      </c>
      <c r="H72" s="83">
        <f>IF($A72="","",SUMPRODUCT(($B$5:$B72="Receita")*$E$5:$E72)-SUMPRODUCT((($B$5:$B72="Despesa")+($B$5:$B72="Investimento"))*$E$5:$E72))</f>
        <v/>
      </c>
    </row>
    <row r="73">
      <c r="A73" s="79" t="n">
        <v>46160</v>
      </c>
      <c r="B73" s="80" t="inlineStr">
        <is>
          <t>Despesa</t>
        </is>
      </c>
      <c r="C73" s="80" t="inlineStr">
        <is>
          <t>Lazer</t>
        </is>
      </c>
      <c r="D73" s="80" t="inlineStr">
        <is>
          <t>Restaurantes e delivery</t>
        </is>
      </c>
      <c r="E73" s="81" t="n">
        <v>270</v>
      </c>
      <c r="F73" s="80" t="inlineStr">
        <is>
          <t>Cartão de Crédito</t>
        </is>
      </c>
      <c r="G73" s="82">
        <f>IF($A73="","",MONTH($A73))</f>
        <v/>
      </c>
      <c r="H73" s="83">
        <f>IF($A73="","",SUMPRODUCT(($B$5:$B73="Receita")*$E$5:$E73)-SUMPRODUCT((($B$5:$B73="Despesa")+($B$5:$B73="Investimento"))*$E$5:$E73))</f>
        <v/>
      </c>
    </row>
    <row r="74">
      <c r="A74" s="79" t="n">
        <v>46160</v>
      </c>
      <c r="B74" s="80" t="inlineStr">
        <is>
          <t>Despesa</t>
        </is>
      </c>
      <c r="C74" s="80" t="inlineStr">
        <is>
          <t>Pets</t>
        </is>
      </c>
      <c r="D74" s="80" t="inlineStr">
        <is>
          <t>Veterinário + ração</t>
        </is>
      </c>
      <c r="E74" s="81" t="n">
        <v>230</v>
      </c>
      <c r="F74" s="80" t="inlineStr">
        <is>
          <t>Cartão de Crédito</t>
        </is>
      </c>
      <c r="G74" s="82">
        <f>IF($A74="","",MONTH($A74))</f>
        <v/>
      </c>
      <c r="H74" s="83">
        <f>IF($A74="","",SUMPRODUCT(($B$5:$B74="Receita")*$E$5:$E74)-SUMPRODUCT((($B$5:$B74="Despesa")+($B$5:$B74="Investimento"))*$E$5:$E74))</f>
        <v/>
      </c>
    </row>
    <row r="75">
      <c r="A75" s="79" t="n">
        <v>46162</v>
      </c>
      <c r="B75" s="80" t="inlineStr">
        <is>
          <t>Despesa</t>
        </is>
      </c>
      <c r="C75" s="80" t="inlineStr">
        <is>
          <t>Saúde</t>
        </is>
      </c>
      <c r="D75" s="80" t="inlineStr">
        <is>
          <t>Academia</t>
        </is>
      </c>
      <c r="E75" s="81" t="n">
        <v>110</v>
      </c>
      <c r="F75" s="80" t="inlineStr">
        <is>
          <t>Débito Automático</t>
        </is>
      </c>
      <c r="G75" s="82">
        <f>IF($A75="","",MONTH($A75))</f>
        <v/>
      </c>
      <c r="H75" s="83">
        <f>IF($A75="","",SUMPRODUCT(($B$5:$B75="Receita")*$E$5:$E75)-SUMPRODUCT((($B$5:$B75="Despesa")+($B$5:$B75="Investimento"))*$E$5:$E75))</f>
        <v/>
      </c>
    </row>
    <row r="76">
      <c r="A76" s="79" t="n">
        <v>46164</v>
      </c>
      <c r="B76" s="80" t="inlineStr">
        <is>
          <t>Despesa</t>
        </is>
      </c>
      <c r="C76" s="80" t="inlineStr">
        <is>
          <t>Assinaturas e Serviços</t>
        </is>
      </c>
      <c r="D76" s="80" t="inlineStr">
        <is>
          <t>Streamings</t>
        </is>
      </c>
      <c r="E76" s="81" t="n">
        <v>65</v>
      </c>
      <c r="F76" s="80" t="inlineStr">
        <is>
          <t>Cartão de Crédito</t>
        </is>
      </c>
      <c r="G76" s="82">
        <f>IF($A76="","",MONTH($A76))</f>
        <v/>
      </c>
      <c r="H76" s="83">
        <f>IF($A76="","",SUMPRODUCT(($B$5:$B76="Receita")*$E$5:$E76)-SUMPRODUCT((($B$5:$B76="Despesa")+($B$5:$B76="Investimento"))*$E$5:$E76))</f>
        <v/>
      </c>
    </row>
    <row r="77">
      <c r="A77" s="79" t="n">
        <v>46167</v>
      </c>
      <c r="B77" s="80" t="inlineStr">
        <is>
          <t>Receita</t>
        </is>
      </c>
      <c r="C77" s="80" t="inlineStr">
        <is>
          <t>Dividendos e Proventos</t>
        </is>
      </c>
      <c r="D77" s="80" t="inlineStr">
        <is>
          <t>Dividendos da carteira</t>
        </is>
      </c>
      <c r="E77" s="81" t="n">
        <v>155</v>
      </c>
      <c r="F77" s="80" t="inlineStr">
        <is>
          <t>Transferência</t>
        </is>
      </c>
      <c r="G77" s="82">
        <f>IF($A77="","",MONTH($A77))</f>
        <v/>
      </c>
      <c r="H77" s="83">
        <f>IF($A77="","",SUMPRODUCT(($B$5:$B77="Receita")*$E$5:$E77)-SUMPRODUCT((($B$5:$B77="Despesa")+($B$5:$B77="Investimento"))*$E$5:$E77))</f>
        <v/>
      </c>
    </row>
    <row r="78">
      <c r="A78" s="79" t="n">
        <v>46169</v>
      </c>
      <c r="B78" s="80" t="inlineStr">
        <is>
          <t>Despesa</t>
        </is>
      </c>
      <c r="C78" s="80" t="inlineStr">
        <is>
          <t>Alimentação</t>
        </is>
      </c>
      <c r="D78" s="80" t="inlineStr">
        <is>
          <t>Feira e padaria</t>
        </is>
      </c>
      <c r="E78" s="81" t="n">
        <v>185</v>
      </c>
      <c r="F78" s="80" t="inlineStr">
        <is>
          <t>Pix</t>
        </is>
      </c>
      <c r="G78" s="82">
        <f>IF($A78="","",MONTH($A78))</f>
        <v/>
      </c>
      <c r="H78" s="83">
        <f>IF($A78="","",SUMPRODUCT(($B$5:$B78="Receita")*$E$5:$E78)-SUMPRODUCT((($B$5:$B78="Despesa")+($B$5:$B78="Investimento"))*$E$5:$E78))</f>
        <v/>
      </c>
    </row>
    <row r="79">
      <c r="A79" s="79" t="n">
        <v>46178</v>
      </c>
      <c r="B79" s="80" t="inlineStr">
        <is>
          <t>Receita</t>
        </is>
      </c>
      <c r="C79" s="80" t="inlineStr">
        <is>
          <t>Salário</t>
        </is>
      </c>
      <c r="D79" s="80" t="inlineStr">
        <is>
          <t>Salário mensal</t>
        </is>
      </c>
      <c r="E79" s="81" t="n">
        <v>8500</v>
      </c>
      <c r="F79" s="80" t="inlineStr">
        <is>
          <t>Transferência</t>
        </is>
      </c>
      <c r="G79" s="82">
        <f>IF($A79="","",MONTH($A79))</f>
        <v/>
      </c>
      <c r="H79" s="83">
        <f>IF($A79="","",SUMPRODUCT(($B$5:$B79="Receita")*$E$5:$E79)-SUMPRODUCT((($B$5:$B79="Despesa")+($B$5:$B79="Investimento"))*$E$5:$E79))</f>
        <v/>
      </c>
    </row>
    <row r="80">
      <c r="A80" s="79" t="n">
        <v>46178</v>
      </c>
      <c r="B80" s="80" t="inlineStr">
        <is>
          <t>Despesa</t>
        </is>
      </c>
      <c r="C80" s="80" t="inlineStr">
        <is>
          <t>Moradia</t>
        </is>
      </c>
      <c r="D80" s="80" t="inlineStr">
        <is>
          <t>Aluguel + condomínio</t>
        </is>
      </c>
      <c r="E80" s="81" t="n">
        <v>1800</v>
      </c>
      <c r="F80" s="80" t="inlineStr">
        <is>
          <t>Boleto</t>
        </is>
      </c>
      <c r="G80" s="82">
        <f>IF($A80="","",MONTH($A80))</f>
        <v/>
      </c>
      <c r="H80" s="83">
        <f>IF($A80="","",SUMPRODUCT(($B$5:$B80="Receita")*$E$5:$E80)-SUMPRODUCT((($B$5:$B80="Despesa")+($B$5:$B80="Investimento"))*$E$5:$E80))</f>
        <v/>
      </c>
    </row>
    <row r="81">
      <c r="A81" s="79" t="n">
        <v>46180</v>
      </c>
      <c r="B81" s="80" t="inlineStr">
        <is>
          <t>Despesa</t>
        </is>
      </c>
      <c r="C81" s="80" t="inlineStr">
        <is>
          <t>Assinaturas e Serviços</t>
        </is>
      </c>
      <c r="D81" s="80" t="inlineStr">
        <is>
          <t>Internet fibra</t>
        </is>
      </c>
      <c r="E81" s="81" t="n">
        <v>120</v>
      </c>
      <c r="F81" s="80" t="inlineStr">
        <is>
          <t>Débito Automático</t>
        </is>
      </c>
      <c r="G81" s="82">
        <f>IF($A81="","",MONTH($A81))</f>
        <v/>
      </c>
      <c r="H81" s="83">
        <f>IF($A81="","",SUMPRODUCT(($B$5:$B81="Receita")*$E$5:$E81)-SUMPRODUCT((($B$5:$B81="Despesa")+($B$5:$B81="Investimento"))*$E$5:$E81))</f>
        <v/>
      </c>
    </row>
    <row r="82">
      <c r="A82" s="79" t="n">
        <v>46181</v>
      </c>
      <c r="B82" s="80" t="inlineStr">
        <is>
          <t>Despesa</t>
        </is>
      </c>
      <c r="C82" s="80" t="inlineStr">
        <is>
          <t>Moradia</t>
        </is>
      </c>
      <c r="D82" s="80" t="inlineStr">
        <is>
          <t>Energia elétrica</t>
        </is>
      </c>
      <c r="E82" s="81" t="n">
        <v>205</v>
      </c>
      <c r="F82" s="80" t="inlineStr">
        <is>
          <t>Boleto</t>
        </is>
      </c>
      <c r="G82" s="82">
        <f>IF($A82="","",MONTH($A82))</f>
        <v/>
      </c>
      <c r="H82" s="83">
        <f>IF($A82="","",SUMPRODUCT(($B$5:$B82="Receita")*$E$5:$E82)-SUMPRODUCT((($B$5:$B82="Despesa")+($B$5:$B82="Investimento"))*$E$5:$E82))</f>
        <v/>
      </c>
    </row>
    <row r="83">
      <c r="A83" s="79" t="n">
        <v>46183</v>
      </c>
      <c r="B83" s="80" t="inlineStr">
        <is>
          <t>Despesa</t>
        </is>
      </c>
      <c r="C83" s="80" t="inlineStr">
        <is>
          <t>Saúde</t>
        </is>
      </c>
      <c r="D83" s="80" t="inlineStr">
        <is>
          <t>Plano de saúde</t>
        </is>
      </c>
      <c r="E83" s="81" t="n">
        <v>450</v>
      </c>
      <c r="F83" s="80" t="inlineStr">
        <is>
          <t>Débito Automático</t>
        </is>
      </c>
      <c r="G83" s="82">
        <f>IF($A83="","",MONTH($A83))</f>
        <v/>
      </c>
      <c r="H83" s="83">
        <f>IF($A83="","",SUMPRODUCT(($B$5:$B83="Receita")*$E$5:$E83)-SUMPRODUCT((($B$5:$B83="Despesa")+($B$5:$B83="Investimento"))*$E$5:$E83))</f>
        <v/>
      </c>
    </row>
    <row r="84">
      <c r="A84" s="79" t="n">
        <v>46183</v>
      </c>
      <c r="B84" s="80" t="inlineStr">
        <is>
          <t>Despesa</t>
        </is>
      </c>
      <c r="C84" s="80" t="inlineStr">
        <is>
          <t>Alimentação</t>
        </is>
      </c>
      <c r="D84" s="80" t="inlineStr">
        <is>
          <t>Supermercado do mês</t>
        </is>
      </c>
      <c r="E84" s="81" t="n">
        <v>1025</v>
      </c>
      <c r="F84" s="80" t="inlineStr">
        <is>
          <t>Cartão de Crédito</t>
        </is>
      </c>
      <c r="G84" s="82">
        <f>IF($A84="","",MONTH($A84))</f>
        <v/>
      </c>
      <c r="H84" s="83">
        <f>IF($A84="","",SUMPRODUCT(($B$5:$B84="Receita")*$E$5:$E84)-SUMPRODUCT((($B$5:$B84="Despesa")+($B$5:$B84="Investimento"))*$E$5:$E84))</f>
        <v/>
      </c>
    </row>
    <row r="85">
      <c r="A85" s="79" t="n">
        <v>46183</v>
      </c>
      <c r="B85" s="80" t="inlineStr">
        <is>
          <t>Despesa</t>
        </is>
      </c>
      <c r="C85" s="80" t="inlineStr">
        <is>
          <t>Moradia</t>
        </is>
      </c>
      <c r="D85" s="80" t="inlineStr">
        <is>
          <t>Manutenção do apartamento</t>
        </is>
      </c>
      <c r="E85" s="81" t="n">
        <v>350</v>
      </c>
      <c r="F85" s="80" t="inlineStr">
        <is>
          <t>Pix</t>
        </is>
      </c>
      <c r="G85" s="82">
        <f>IF($A85="","",MONTH($A85))</f>
        <v/>
      </c>
      <c r="H85" s="83">
        <f>IF($A85="","",SUMPRODUCT(($B$5:$B85="Receita")*$E$5:$E85)-SUMPRODUCT((($B$5:$B85="Despesa")+($B$5:$B85="Investimento"))*$E$5:$E85))</f>
        <v/>
      </c>
    </row>
    <row r="86">
      <c r="A86" s="79" t="n">
        <v>46185</v>
      </c>
      <c r="B86" s="80" t="inlineStr">
        <is>
          <t>Despesa</t>
        </is>
      </c>
      <c r="C86" s="80" t="inlineStr">
        <is>
          <t>Transporte</t>
        </is>
      </c>
      <c r="D86" s="80" t="inlineStr">
        <is>
          <t>Combustível</t>
        </is>
      </c>
      <c r="E86" s="81" t="n">
        <v>348</v>
      </c>
      <c r="F86" s="80" t="inlineStr">
        <is>
          <t>Cartão de Crédito</t>
        </is>
      </c>
      <c r="G86" s="82">
        <f>IF($A86="","",MONTH($A86))</f>
        <v/>
      </c>
      <c r="H86" s="83">
        <f>IF($A86="","",SUMPRODUCT(($B$5:$B86="Receita")*$E$5:$E86)-SUMPRODUCT((($B$5:$B86="Despesa")+($B$5:$B86="Investimento"))*$E$5:$E86))</f>
        <v/>
      </c>
    </row>
    <row r="87">
      <c r="A87" s="79" t="n">
        <v>46188</v>
      </c>
      <c r="B87" s="80" t="inlineStr">
        <is>
          <t>Investimento</t>
        </is>
      </c>
      <c r="C87" s="80" t="inlineStr">
        <is>
          <t>Aporte Investimentos</t>
        </is>
      </c>
      <c r="D87" s="80" t="inlineStr">
        <is>
          <t>Aporte na corretora</t>
        </is>
      </c>
      <c r="E87" s="81" t="n">
        <v>1500</v>
      </c>
      <c r="F87" s="80" t="inlineStr">
        <is>
          <t>Pix</t>
        </is>
      </c>
      <c r="G87" s="82">
        <f>IF($A87="","",MONTH($A87))</f>
        <v/>
      </c>
      <c r="H87" s="83">
        <f>IF($A87="","",SUMPRODUCT(($B$5:$B87="Receita")*$E$5:$E87)-SUMPRODUCT((($B$5:$B87="Despesa")+($B$5:$B87="Investimento"))*$E$5:$E87))</f>
        <v/>
      </c>
    </row>
    <row r="88">
      <c r="A88" s="79" t="n">
        <v>46191</v>
      </c>
      <c r="B88" s="80" t="inlineStr">
        <is>
          <t>Despesa</t>
        </is>
      </c>
      <c r="C88" s="80" t="inlineStr">
        <is>
          <t>Lazer</t>
        </is>
      </c>
      <c r="D88" s="80" t="inlineStr">
        <is>
          <t>Restaurantes e delivery</t>
        </is>
      </c>
      <c r="E88" s="81" t="n">
        <v>255</v>
      </c>
      <c r="F88" s="80" t="inlineStr">
        <is>
          <t>Cartão de Crédito</t>
        </is>
      </c>
      <c r="G88" s="82">
        <f>IF($A88="","",MONTH($A88))</f>
        <v/>
      </c>
      <c r="H88" s="83">
        <f>IF($A88="","",SUMPRODUCT(($B$5:$B88="Receita")*$E$5:$E88)-SUMPRODUCT((($B$5:$B88="Despesa")+($B$5:$B88="Investimento"))*$E$5:$E88))</f>
        <v/>
      </c>
    </row>
    <row r="89">
      <c r="A89" s="79" t="n">
        <v>46193</v>
      </c>
      <c r="B89" s="80" t="inlineStr">
        <is>
          <t>Despesa</t>
        </is>
      </c>
      <c r="C89" s="80" t="inlineStr">
        <is>
          <t>Saúde</t>
        </is>
      </c>
      <c r="D89" s="80" t="inlineStr">
        <is>
          <t>Academia</t>
        </is>
      </c>
      <c r="E89" s="81" t="n">
        <v>110</v>
      </c>
      <c r="F89" s="80" t="inlineStr">
        <is>
          <t>Débito Automático</t>
        </is>
      </c>
      <c r="G89" s="82">
        <f>IF($A89="","",MONTH($A89))</f>
        <v/>
      </c>
      <c r="H89" s="83">
        <f>IF($A89="","",SUMPRODUCT(($B$5:$B89="Receita")*$E$5:$E89)-SUMPRODUCT((($B$5:$B89="Despesa")+($B$5:$B89="Investimento"))*$E$5:$E89))</f>
        <v/>
      </c>
    </row>
    <row r="90">
      <c r="A90" s="79" t="n">
        <v>46195</v>
      </c>
      <c r="B90" s="80" t="inlineStr">
        <is>
          <t>Despesa</t>
        </is>
      </c>
      <c r="C90" s="80" t="inlineStr">
        <is>
          <t>Assinaturas e Serviços</t>
        </is>
      </c>
      <c r="D90" s="80" t="inlineStr">
        <is>
          <t>Streamings</t>
        </is>
      </c>
      <c r="E90" s="81" t="n">
        <v>65</v>
      </c>
      <c r="F90" s="80" t="inlineStr">
        <is>
          <t>Cartão de Crédito</t>
        </is>
      </c>
      <c r="G90" s="82">
        <f>IF($A90="","",MONTH($A90))</f>
        <v/>
      </c>
      <c r="H90" s="83">
        <f>IF($A90="","",SUMPRODUCT(($B$5:$B90="Receita")*$E$5:$E90)-SUMPRODUCT((($B$5:$B90="Despesa")+($B$5:$B90="Investimento"))*$E$5:$E90))</f>
        <v/>
      </c>
    </row>
    <row r="91">
      <c r="A91" s="79" t="n">
        <v>46198</v>
      </c>
      <c r="B91" s="80" t="inlineStr">
        <is>
          <t>Receita</t>
        </is>
      </c>
      <c r="C91" s="80" t="inlineStr">
        <is>
          <t>Dividendos e Proventos</t>
        </is>
      </c>
      <c r="D91" s="80" t="inlineStr">
        <is>
          <t>Dividendos da carteira</t>
        </is>
      </c>
      <c r="E91" s="81" t="n">
        <v>170</v>
      </c>
      <c r="F91" s="80" t="inlineStr">
        <is>
          <t>Transferência</t>
        </is>
      </c>
      <c r="G91" s="82">
        <f>IF($A91="","",MONTH($A91))</f>
        <v/>
      </c>
      <c r="H91" s="83">
        <f>IF($A91="","",SUMPRODUCT(($B$5:$B91="Receita")*$E$5:$E91)-SUMPRODUCT((($B$5:$B91="Despesa")+($B$5:$B91="Investimento"))*$E$5:$E91))</f>
        <v/>
      </c>
    </row>
    <row r="92">
      <c r="A92" s="79" t="n">
        <v>46200</v>
      </c>
      <c r="B92" s="80" t="inlineStr">
        <is>
          <t>Despesa</t>
        </is>
      </c>
      <c r="C92" s="80" t="inlineStr">
        <is>
          <t>Alimentação</t>
        </is>
      </c>
      <c r="D92" s="80" t="inlineStr">
        <is>
          <t>Feira e padaria</t>
        </is>
      </c>
      <c r="E92" s="81" t="n">
        <v>178</v>
      </c>
      <c r="F92" s="80" t="inlineStr">
        <is>
          <t>Pix</t>
        </is>
      </c>
      <c r="G92" s="82">
        <f>IF($A92="","",MONTH($A92))</f>
        <v/>
      </c>
      <c r="H92" s="83">
        <f>IF($A92="","",SUMPRODUCT(($B$5:$B92="Receita")*$E$5:$E92)-SUMPRODUCT((($B$5:$B92="Despesa")+($B$5:$B92="Investimento"))*$E$5:$E92))</f>
        <v/>
      </c>
    </row>
    <row r="93">
      <c r="A93" s="79" t="n"/>
      <c r="B93" s="80" t="n"/>
      <c r="C93" s="80" t="n"/>
      <c r="D93" s="80" t="n"/>
      <c r="E93" s="81" t="n"/>
      <c r="F93" s="80" t="n"/>
      <c r="G93" s="82">
        <f>IF($A93="","",MONTH($A93))</f>
        <v/>
      </c>
      <c r="H93" s="83">
        <f>IF($A93="","",SUMPRODUCT(($B$5:$B93="Receita")*$E$5:$E93)-SUMPRODUCT((($B$5:$B93="Despesa")+($B$5:$B93="Investimento"))*$E$5:$E93))</f>
        <v/>
      </c>
    </row>
    <row r="94">
      <c r="A94" s="79" t="n"/>
      <c r="B94" s="80" t="n"/>
      <c r="C94" s="80" t="n"/>
      <c r="D94" s="80" t="n"/>
      <c r="E94" s="81" t="n"/>
      <c r="F94" s="80" t="n"/>
      <c r="G94" s="82">
        <f>IF($A94="","",MONTH($A94))</f>
        <v/>
      </c>
      <c r="H94" s="83">
        <f>IF($A94="","",SUMPRODUCT(($B$5:$B94="Receita")*$E$5:$E94)-SUMPRODUCT((($B$5:$B94="Despesa")+($B$5:$B94="Investimento"))*$E$5:$E94))</f>
        <v/>
      </c>
    </row>
    <row r="95">
      <c r="A95" s="79" t="n"/>
      <c r="B95" s="80" t="n"/>
      <c r="C95" s="80" t="n"/>
      <c r="D95" s="80" t="n"/>
      <c r="E95" s="81" t="n"/>
      <c r="F95" s="80" t="n"/>
      <c r="G95" s="82">
        <f>IF($A95="","",MONTH($A95))</f>
        <v/>
      </c>
      <c r="H95" s="83">
        <f>IF($A95="","",SUMPRODUCT(($B$5:$B95="Receita")*$E$5:$E95)-SUMPRODUCT((($B$5:$B95="Despesa")+($B$5:$B95="Investimento"))*$E$5:$E95))</f>
        <v/>
      </c>
    </row>
    <row r="96">
      <c r="A96" s="79" t="n"/>
      <c r="B96" s="80" t="n"/>
      <c r="C96" s="80" t="n"/>
      <c r="D96" s="80" t="n"/>
      <c r="E96" s="81" t="n"/>
      <c r="F96" s="80" t="n"/>
      <c r="G96" s="82">
        <f>IF($A96="","",MONTH($A96))</f>
        <v/>
      </c>
      <c r="H96" s="83">
        <f>IF($A96="","",SUMPRODUCT(($B$5:$B96="Receita")*$E$5:$E96)-SUMPRODUCT((($B$5:$B96="Despesa")+($B$5:$B96="Investimento"))*$E$5:$E96))</f>
        <v/>
      </c>
    </row>
    <row r="97">
      <c r="A97" s="79" t="n"/>
      <c r="B97" s="80" t="n"/>
      <c r="C97" s="80" t="n"/>
      <c r="D97" s="80" t="n"/>
      <c r="E97" s="81" t="n"/>
      <c r="F97" s="80" t="n"/>
      <c r="G97" s="82">
        <f>IF($A97="","",MONTH($A97))</f>
        <v/>
      </c>
      <c r="H97" s="83">
        <f>IF($A97="","",SUMPRODUCT(($B$5:$B97="Receita")*$E$5:$E97)-SUMPRODUCT((($B$5:$B97="Despesa")+($B$5:$B97="Investimento"))*$E$5:$E97))</f>
        <v/>
      </c>
    </row>
    <row r="98">
      <c r="A98" s="79" t="n"/>
      <c r="B98" s="80" t="n"/>
      <c r="C98" s="80" t="n"/>
      <c r="D98" s="80" t="n"/>
      <c r="E98" s="81" t="n"/>
      <c r="F98" s="80" t="n"/>
      <c r="G98" s="82">
        <f>IF($A98="","",MONTH($A98))</f>
        <v/>
      </c>
      <c r="H98" s="83">
        <f>IF($A98="","",SUMPRODUCT(($B$5:$B98="Receita")*$E$5:$E98)-SUMPRODUCT((($B$5:$B98="Despesa")+($B$5:$B98="Investimento"))*$E$5:$E98))</f>
        <v/>
      </c>
    </row>
    <row r="99">
      <c r="A99" s="79" t="n"/>
      <c r="B99" s="80" t="n"/>
      <c r="C99" s="80" t="n"/>
      <c r="D99" s="80" t="n"/>
      <c r="E99" s="81" t="n"/>
      <c r="F99" s="80" t="n"/>
      <c r="G99" s="82">
        <f>IF($A99="","",MONTH($A99))</f>
        <v/>
      </c>
      <c r="H99" s="83">
        <f>IF($A99="","",SUMPRODUCT(($B$5:$B99="Receita")*$E$5:$E99)-SUMPRODUCT((($B$5:$B99="Despesa")+($B$5:$B99="Investimento"))*$E$5:$E99))</f>
        <v/>
      </c>
    </row>
    <row r="100">
      <c r="A100" s="79" t="n"/>
      <c r="B100" s="80" t="n"/>
      <c r="C100" s="80" t="n"/>
      <c r="D100" s="80" t="n"/>
      <c r="E100" s="81" t="n"/>
      <c r="F100" s="80" t="n"/>
      <c r="G100" s="82">
        <f>IF($A100="","",MONTH($A100))</f>
        <v/>
      </c>
      <c r="H100" s="83">
        <f>IF($A100="","",SUMPRODUCT(($B$5:$B100="Receita")*$E$5:$E100)-SUMPRODUCT((($B$5:$B100="Despesa")+($B$5:$B100="Investimento"))*$E$5:$E100))</f>
        <v/>
      </c>
    </row>
    <row r="101">
      <c r="A101" s="79" t="n"/>
      <c r="B101" s="80" t="n"/>
      <c r="C101" s="80" t="n"/>
      <c r="D101" s="80" t="n"/>
      <c r="E101" s="81" t="n"/>
      <c r="F101" s="80" t="n"/>
      <c r="G101" s="82">
        <f>IF($A101="","",MONTH($A101))</f>
        <v/>
      </c>
      <c r="H101" s="83">
        <f>IF($A101="","",SUMPRODUCT(($B$5:$B101="Receita")*$E$5:$E101)-SUMPRODUCT((($B$5:$B101="Despesa")+($B$5:$B101="Investimento"))*$E$5:$E101))</f>
        <v/>
      </c>
    </row>
    <row r="102">
      <c r="A102" s="79" t="n"/>
      <c r="B102" s="80" t="n"/>
      <c r="C102" s="80" t="n"/>
      <c r="D102" s="80" t="n"/>
      <c r="E102" s="81" t="n"/>
      <c r="F102" s="80" t="n"/>
      <c r="G102" s="82">
        <f>IF($A102="","",MONTH($A102))</f>
        <v/>
      </c>
      <c r="H102" s="83">
        <f>IF($A102="","",SUMPRODUCT(($B$5:$B102="Receita")*$E$5:$E102)-SUMPRODUCT((($B$5:$B102="Despesa")+($B$5:$B102="Investimento"))*$E$5:$E102))</f>
        <v/>
      </c>
    </row>
    <row r="103">
      <c r="A103" s="79" t="n"/>
      <c r="B103" s="80" t="n"/>
      <c r="C103" s="80" t="n"/>
      <c r="D103" s="80" t="n"/>
      <c r="E103" s="81" t="n"/>
      <c r="F103" s="80" t="n"/>
      <c r="G103" s="82">
        <f>IF($A103="","",MONTH($A103))</f>
        <v/>
      </c>
      <c r="H103" s="83">
        <f>IF($A103="","",SUMPRODUCT(($B$5:$B103="Receita")*$E$5:$E103)-SUMPRODUCT((($B$5:$B103="Despesa")+($B$5:$B103="Investimento"))*$E$5:$E103))</f>
        <v/>
      </c>
    </row>
    <row r="104">
      <c r="A104" s="79" t="n"/>
      <c r="B104" s="80" t="n"/>
      <c r="C104" s="80" t="n"/>
      <c r="D104" s="80" t="n"/>
      <c r="E104" s="81" t="n"/>
      <c r="F104" s="80" t="n"/>
      <c r="G104" s="82">
        <f>IF($A104="","",MONTH($A104))</f>
        <v/>
      </c>
      <c r="H104" s="83">
        <f>IF($A104="","",SUMPRODUCT(($B$5:$B104="Receita")*$E$5:$E104)-SUMPRODUCT((($B$5:$B104="Despesa")+($B$5:$B104="Investimento"))*$E$5:$E104))</f>
        <v/>
      </c>
    </row>
    <row r="105">
      <c r="A105" s="79" t="n"/>
      <c r="B105" s="80" t="n"/>
      <c r="C105" s="80" t="n"/>
      <c r="D105" s="80" t="n"/>
      <c r="E105" s="81" t="n"/>
      <c r="F105" s="80" t="n"/>
      <c r="G105" s="82">
        <f>IF($A105="","",MONTH($A105))</f>
        <v/>
      </c>
      <c r="H105" s="83">
        <f>IF($A105="","",SUMPRODUCT(($B$5:$B105="Receita")*$E$5:$E105)-SUMPRODUCT((($B$5:$B105="Despesa")+($B$5:$B105="Investimento"))*$E$5:$E105))</f>
        <v/>
      </c>
    </row>
    <row r="106">
      <c r="A106" s="79" t="n"/>
      <c r="B106" s="80" t="n"/>
      <c r="C106" s="80" t="n"/>
      <c r="D106" s="80" t="n"/>
      <c r="E106" s="81" t="n"/>
      <c r="F106" s="80" t="n"/>
      <c r="G106" s="82">
        <f>IF($A106="","",MONTH($A106))</f>
        <v/>
      </c>
      <c r="H106" s="83">
        <f>IF($A106="","",SUMPRODUCT(($B$5:$B106="Receita")*$E$5:$E106)-SUMPRODUCT((($B$5:$B106="Despesa")+($B$5:$B106="Investimento"))*$E$5:$E106))</f>
        <v/>
      </c>
    </row>
    <row r="107">
      <c r="A107" s="79" t="n"/>
      <c r="B107" s="80" t="n"/>
      <c r="C107" s="80" t="n"/>
      <c r="D107" s="80" t="n"/>
      <c r="E107" s="81" t="n"/>
      <c r="F107" s="80" t="n"/>
      <c r="G107" s="82">
        <f>IF($A107="","",MONTH($A107))</f>
        <v/>
      </c>
      <c r="H107" s="83">
        <f>IF($A107="","",SUMPRODUCT(($B$5:$B107="Receita")*$E$5:$E107)-SUMPRODUCT((($B$5:$B107="Despesa")+($B$5:$B107="Investimento"))*$E$5:$E107))</f>
        <v/>
      </c>
    </row>
    <row r="108">
      <c r="A108" s="79" t="n"/>
      <c r="B108" s="80" t="n"/>
      <c r="C108" s="80" t="n"/>
      <c r="D108" s="80" t="n"/>
      <c r="E108" s="81" t="n"/>
      <c r="F108" s="80" t="n"/>
      <c r="G108" s="82">
        <f>IF($A108="","",MONTH($A108))</f>
        <v/>
      </c>
      <c r="H108" s="83">
        <f>IF($A108="","",SUMPRODUCT(($B$5:$B108="Receita")*$E$5:$E108)-SUMPRODUCT((($B$5:$B108="Despesa")+($B$5:$B108="Investimento"))*$E$5:$E108))</f>
        <v/>
      </c>
    </row>
    <row r="109">
      <c r="A109" s="79" t="n"/>
      <c r="B109" s="80" t="n"/>
      <c r="C109" s="80" t="n"/>
      <c r="D109" s="80" t="n"/>
      <c r="E109" s="81" t="n"/>
      <c r="F109" s="80" t="n"/>
      <c r="G109" s="82">
        <f>IF($A109="","",MONTH($A109))</f>
        <v/>
      </c>
      <c r="H109" s="83">
        <f>IF($A109="","",SUMPRODUCT(($B$5:$B109="Receita")*$E$5:$E109)-SUMPRODUCT((($B$5:$B109="Despesa")+($B$5:$B109="Investimento"))*$E$5:$E109))</f>
        <v/>
      </c>
    </row>
    <row r="110">
      <c r="A110" s="79" t="n"/>
      <c r="B110" s="80" t="n"/>
      <c r="C110" s="80" t="n"/>
      <c r="D110" s="80" t="n"/>
      <c r="E110" s="81" t="n"/>
      <c r="F110" s="80" t="n"/>
      <c r="G110" s="82">
        <f>IF($A110="","",MONTH($A110))</f>
        <v/>
      </c>
      <c r="H110" s="83">
        <f>IF($A110="","",SUMPRODUCT(($B$5:$B110="Receita")*$E$5:$E110)-SUMPRODUCT((($B$5:$B110="Despesa")+($B$5:$B110="Investimento"))*$E$5:$E110))</f>
        <v/>
      </c>
    </row>
    <row r="111">
      <c r="A111" s="79" t="n"/>
      <c r="B111" s="80" t="n"/>
      <c r="C111" s="80" t="n"/>
      <c r="D111" s="80" t="n"/>
      <c r="E111" s="81" t="n"/>
      <c r="F111" s="80" t="n"/>
      <c r="G111" s="82">
        <f>IF($A111="","",MONTH($A111))</f>
        <v/>
      </c>
      <c r="H111" s="83">
        <f>IF($A111="","",SUMPRODUCT(($B$5:$B111="Receita")*$E$5:$E111)-SUMPRODUCT((($B$5:$B111="Despesa")+($B$5:$B111="Investimento"))*$E$5:$E111))</f>
        <v/>
      </c>
    </row>
    <row r="112">
      <c r="A112" s="79" t="n"/>
      <c r="B112" s="80" t="n"/>
      <c r="C112" s="80" t="n"/>
      <c r="D112" s="80" t="n"/>
      <c r="E112" s="81" t="n"/>
      <c r="F112" s="80" t="n"/>
      <c r="G112" s="82">
        <f>IF($A112="","",MONTH($A112))</f>
        <v/>
      </c>
      <c r="H112" s="83">
        <f>IF($A112="","",SUMPRODUCT(($B$5:$B112="Receita")*$E$5:$E112)-SUMPRODUCT((($B$5:$B112="Despesa")+($B$5:$B112="Investimento"))*$E$5:$E112))</f>
        <v/>
      </c>
    </row>
    <row r="113">
      <c r="A113" s="79" t="n"/>
      <c r="B113" s="80" t="n"/>
      <c r="C113" s="80" t="n"/>
      <c r="D113" s="80" t="n"/>
      <c r="E113" s="81" t="n"/>
      <c r="F113" s="80" t="n"/>
      <c r="G113" s="82">
        <f>IF($A113="","",MONTH($A113))</f>
        <v/>
      </c>
      <c r="H113" s="83">
        <f>IF($A113="","",SUMPRODUCT(($B$5:$B113="Receita")*$E$5:$E113)-SUMPRODUCT((($B$5:$B113="Despesa")+($B$5:$B113="Investimento"))*$E$5:$E113))</f>
        <v/>
      </c>
    </row>
    <row r="114">
      <c r="A114" s="79" t="n"/>
      <c r="B114" s="80" t="n"/>
      <c r="C114" s="80" t="n"/>
      <c r="D114" s="80" t="n"/>
      <c r="E114" s="81" t="n"/>
      <c r="F114" s="80" t="n"/>
      <c r="G114" s="82">
        <f>IF($A114="","",MONTH($A114))</f>
        <v/>
      </c>
      <c r="H114" s="83">
        <f>IF($A114="","",SUMPRODUCT(($B$5:$B114="Receita")*$E$5:$E114)-SUMPRODUCT((($B$5:$B114="Despesa")+($B$5:$B114="Investimento"))*$E$5:$E114))</f>
        <v/>
      </c>
    </row>
    <row r="115">
      <c r="A115" s="79" t="n"/>
      <c r="B115" s="80" t="n"/>
      <c r="C115" s="80" t="n"/>
      <c r="D115" s="80" t="n"/>
      <c r="E115" s="81" t="n"/>
      <c r="F115" s="80" t="n"/>
      <c r="G115" s="82">
        <f>IF($A115="","",MONTH($A115))</f>
        <v/>
      </c>
      <c r="H115" s="83">
        <f>IF($A115="","",SUMPRODUCT(($B$5:$B115="Receita")*$E$5:$E115)-SUMPRODUCT((($B$5:$B115="Despesa")+($B$5:$B115="Investimento"))*$E$5:$E115))</f>
        <v/>
      </c>
    </row>
    <row r="116">
      <c r="A116" s="79" t="n"/>
      <c r="B116" s="80" t="n"/>
      <c r="C116" s="80" t="n"/>
      <c r="D116" s="80" t="n"/>
      <c r="E116" s="81" t="n"/>
      <c r="F116" s="80" t="n"/>
      <c r="G116" s="82">
        <f>IF($A116="","",MONTH($A116))</f>
        <v/>
      </c>
      <c r="H116" s="83">
        <f>IF($A116="","",SUMPRODUCT(($B$5:$B116="Receita")*$E$5:$E116)-SUMPRODUCT((($B$5:$B116="Despesa")+($B$5:$B116="Investimento"))*$E$5:$E116))</f>
        <v/>
      </c>
    </row>
    <row r="117">
      <c r="A117" s="79" t="n"/>
      <c r="B117" s="80" t="n"/>
      <c r="C117" s="80" t="n"/>
      <c r="D117" s="80" t="n"/>
      <c r="E117" s="81" t="n"/>
      <c r="F117" s="80" t="n"/>
      <c r="G117" s="82">
        <f>IF($A117="","",MONTH($A117))</f>
        <v/>
      </c>
      <c r="H117" s="83">
        <f>IF($A117="","",SUMPRODUCT(($B$5:$B117="Receita")*$E$5:$E117)-SUMPRODUCT((($B$5:$B117="Despesa")+($B$5:$B117="Investimento"))*$E$5:$E117))</f>
        <v/>
      </c>
    </row>
    <row r="118">
      <c r="A118" s="79" t="n"/>
      <c r="B118" s="80" t="n"/>
      <c r="C118" s="80" t="n"/>
      <c r="D118" s="80" t="n"/>
      <c r="E118" s="81" t="n"/>
      <c r="F118" s="80" t="n"/>
      <c r="G118" s="82">
        <f>IF($A118="","",MONTH($A118))</f>
        <v/>
      </c>
      <c r="H118" s="83">
        <f>IF($A118="","",SUMPRODUCT(($B$5:$B118="Receita")*$E$5:$E118)-SUMPRODUCT((($B$5:$B118="Despesa")+($B$5:$B118="Investimento"))*$E$5:$E118))</f>
        <v/>
      </c>
    </row>
    <row r="119">
      <c r="A119" s="79" t="n"/>
      <c r="B119" s="80" t="n"/>
      <c r="C119" s="80" t="n"/>
      <c r="D119" s="80" t="n"/>
      <c r="E119" s="81" t="n"/>
      <c r="F119" s="80" t="n"/>
      <c r="G119" s="82">
        <f>IF($A119="","",MONTH($A119))</f>
        <v/>
      </c>
      <c r="H119" s="83">
        <f>IF($A119="","",SUMPRODUCT(($B$5:$B119="Receita")*$E$5:$E119)-SUMPRODUCT((($B$5:$B119="Despesa")+($B$5:$B119="Investimento"))*$E$5:$E119))</f>
        <v/>
      </c>
    </row>
    <row r="120">
      <c r="A120" s="79" t="n"/>
      <c r="B120" s="80" t="n"/>
      <c r="C120" s="80" t="n"/>
      <c r="D120" s="80" t="n"/>
      <c r="E120" s="81" t="n"/>
      <c r="F120" s="80" t="n"/>
      <c r="G120" s="82">
        <f>IF($A120="","",MONTH($A120))</f>
        <v/>
      </c>
      <c r="H120" s="83">
        <f>IF($A120="","",SUMPRODUCT(($B$5:$B120="Receita")*$E$5:$E120)-SUMPRODUCT((($B$5:$B120="Despesa")+($B$5:$B120="Investimento"))*$E$5:$E120))</f>
        <v/>
      </c>
    </row>
    <row r="121">
      <c r="A121" s="79" t="n"/>
      <c r="B121" s="80" t="n"/>
      <c r="C121" s="80" t="n"/>
      <c r="D121" s="80" t="n"/>
      <c r="E121" s="81" t="n"/>
      <c r="F121" s="80" t="n"/>
      <c r="G121" s="82">
        <f>IF($A121="","",MONTH($A121))</f>
        <v/>
      </c>
      <c r="H121" s="83">
        <f>IF($A121="","",SUMPRODUCT(($B$5:$B121="Receita")*$E$5:$E121)-SUMPRODUCT((($B$5:$B121="Despesa")+($B$5:$B121="Investimento"))*$E$5:$E121))</f>
        <v/>
      </c>
    </row>
    <row r="122">
      <c r="A122" s="79" t="n"/>
      <c r="B122" s="80" t="n"/>
      <c r="C122" s="80" t="n"/>
      <c r="D122" s="80" t="n"/>
      <c r="E122" s="81" t="n"/>
      <c r="F122" s="80" t="n"/>
      <c r="G122" s="82">
        <f>IF($A122="","",MONTH($A122))</f>
        <v/>
      </c>
      <c r="H122" s="83">
        <f>IF($A122="","",SUMPRODUCT(($B$5:$B122="Receita")*$E$5:$E122)-SUMPRODUCT((($B$5:$B122="Despesa")+($B$5:$B122="Investimento"))*$E$5:$E122))</f>
        <v/>
      </c>
    </row>
    <row r="123">
      <c r="A123" s="79" t="n"/>
      <c r="B123" s="80" t="n"/>
      <c r="C123" s="80" t="n"/>
      <c r="D123" s="80" t="n"/>
      <c r="E123" s="81" t="n"/>
      <c r="F123" s="80" t="n"/>
      <c r="G123" s="82">
        <f>IF($A123="","",MONTH($A123))</f>
        <v/>
      </c>
      <c r="H123" s="83">
        <f>IF($A123="","",SUMPRODUCT(($B$5:$B123="Receita")*$E$5:$E123)-SUMPRODUCT((($B$5:$B123="Despesa")+($B$5:$B123="Investimento"))*$E$5:$E123))</f>
        <v/>
      </c>
    </row>
    <row r="124">
      <c r="A124" s="79" t="n"/>
      <c r="B124" s="80" t="n"/>
      <c r="C124" s="80" t="n"/>
      <c r="D124" s="80" t="n"/>
      <c r="E124" s="81" t="n"/>
      <c r="F124" s="80" t="n"/>
      <c r="G124" s="82">
        <f>IF($A124="","",MONTH($A124))</f>
        <v/>
      </c>
      <c r="H124" s="83">
        <f>IF($A124="","",SUMPRODUCT(($B$5:$B124="Receita")*$E$5:$E124)-SUMPRODUCT((($B$5:$B124="Despesa")+($B$5:$B124="Investimento"))*$E$5:$E124))</f>
        <v/>
      </c>
    </row>
    <row r="125">
      <c r="A125" s="79" t="n"/>
      <c r="B125" s="80" t="n"/>
      <c r="C125" s="80" t="n"/>
      <c r="D125" s="80" t="n"/>
      <c r="E125" s="81" t="n"/>
      <c r="F125" s="80" t="n"/>
      <c r="G125" s="82">
        <f>IF($A125="","",MONTH($A125))</f>
        <v/>
      </c>
      <c r="H125" s="83">
        <f>IF($A125="","",SUMPRODUCT(($B$5:$B125="Receita")*$E$5:$E125)-SUMPRODUCT((($B$5:$B125="Despesa")+($B$5:$B125="Investimento"))*$E$5:$E125))</f>
        <v/>
      </c>
    </row>
    <row r="126">
      <c r="A126" s="79" t="n"/>
      <c r="B126" s="80" t="n"/>
      <c r="C126" s="80" t="n"/>
      <c r="D126" s="80" t="n"/>
      <c r="E126" s="81" t="n"/>
      <c r="F126" s="80" t="n"/>
      <c r="G126" s="82">
        <f>IF($A126="","",MONTH($A126))</f>
        <v/>
      </c>
      <c r="H126" s="83">
        <f>IF($A126="","",SUMPRODUCT(($B$5:$B126="Receita")*$E$5:$E126)-SUMPRODUCT((($B$5:$B126="Despesa")+($B$5:$B126="Investimento"))*$E$5:$E126))</f>
        <v/>
      </c>
    </row>
    <row r="127">
      <c r="A127" s="79" t="n"/>
      <c r="B127" s="80" t="n"/>
      <c r="C127" s="80" t="n"/>
      <c r="D127" s="80" t="n"/>
      <c r="E127" s="81" t="n"/>
      <c r="F127" s="80" t="n"/>
      <c r="G127" s="82">
        <f>IF($A127="","",MONTH($A127))</f>
        <v/>
      </c>
      <c r="H127" s="83">
        <f>IF($A127="","",SUMPRODUCT(($B$5:$B127="Receita")*$E$5:$E127)-SUMPRODUCT((($B$5:$B127="Despesa")+($B$5:$B127="Investimento"))*$E$5:$E127))</f>
        <v/>
      </c>
    </row>
    <row r="128">
      <c r="A128" s="79" t="n"/>
      <c r="B128" s="80" t="n"/>
      <c r="C128" s="80" t="n"/>
      <c r="D128" s="80" t="n"/>
      <c r="E128" s="81" t="n"/>
      <c r="F128" s="80" t="n"/>
      <c r="G128" s="82">
        <f>IF($A128="","",MONTH($A128))</f>
        <v/>
      </c>
      <c r="H128" s="83">
        <f>IF($A128="","",SUMPRODUCT(($B$5:$B128="Receita")*$E$5:$E128)-SUMPRODUCT((($B$5:$B128="Despesa")+($B$5:$B128="Investimento"))*$E$5:$E128))</f>
        <v/>
      </c>
    </row>
    <row r="129">
      <c r="A129" s="79" t="n"/>
      <c r="B129" s="80" t="n"/>
      <c r="C129" s="80" t="n"/>
      <c r="D129" s="80" t="n"/>
      <c r="E129" s="81" t="n"/>
      <c r="F129" s="80" t="n"/>
      <c r="G129" s="82">
        <f>IF($A129="","",MONTH($A129))</f>
        <v/>
      </c>
      <c r="H129" s="83">
        <f>IF($A129="","",SUMPRODUCT(($B$5:$B129="Receita")*$E$5:$E129)-SUMPRODUCT((($B$5:$B129="Despesa")+($B$5:$B129="Investimento"))*$E$5:$E129))</f>
        <v/>
      </c>
    </row>
    <row r="130">
      <c r="A130" s="79" t="n"/>
      <c r="B130" s="80" t="n"/>
      <c r="C130" s="80" t="n"/>
      <c r="D130" s="80" t="n"/>
      <c r="E130" s="81" t="n"/>
      <c r="F130" s="80" t="n"/>
      <c r="G130" s="82">
        <f>IF($A130="","",MONTH($A130))</f>
        <v/>
      </c>
      <c r="H130" s="83">
        <f>IF($A130="","",SUMPRODUCT(($B$5:$B130="Receita")*$E$5:$E130)-SUMPRODUCT((($B$5:$B130="Despesa")+($B$5:$B130="Investimento"))*$E$5:$E130))</f>
        <v/>
      </c>
    </row>
    <row r="131">
      <c r="A131" s="79" t="n"/>
      <c r="B131" s="80" t="n"/>
      <c r="C131" s="80" t="n"/>
      <c r="D131" s="80" t="n"/>
      <c r="E131" s="81" t="n"/>
      <c r="F131" s="80" t="n"/>
      <c r="G131" s="82">
        <f>IF($A131="","",MONTH($A131))</f>
        <v/>
      </c>
      <c r="H131" s="83">
        <f>IF($A131="","",SUMPRODUCT(($B$5:$B131="Receita")*$E$5:$E131)-SUMPRODUCT((($B$5:$B131="Despesa")+($B$5:$B131="Investimento"))*$E$5:$E131))</f>
        <v/>
      </c>
    </row>
    <row r="132">
      <c r="A132" s="79" t="n"/>
      <c r="B132" s="80" t="n"/>
      <c r="C132" s="80" t="n"/>
      <c r="D132" s="80" t="n"/>
      <c r="E132" s="81" t="n"/>
      <c r="F132" s="80" t="n"/>
      <c r="G132" s="82">
        <f>IF($A132="","",MONTH($A132))</f>
        <v/>
      </c>
      <c r="H132" s="83">
        <f>IF($A132="","",SUMPRODUCT(($B$5:$B132="Receita")*$E$5:$E132)-SUMPRODUCT((($B$5:$B132="Despesa")+($B$5:$B132="Investimento"))*$E$5:$E132))</f>
        <v/>
      </c>
    </row>
    <row r="133">
      <c r="A133" s="79" t="n"/>
      <c r="B133" s="80" t="n"/>
      <c r="C133" s="80" t="n"/>
      <c r="D133" s="80" t="n"/>
      <c r="E133" s="81" t="n"/>
      <c r="F133" s="80" t="n"/>
      <c r="G133" s="82">
        <f>IF($A133="","",MONTH($A133))</f>
        <v/>
      </c>
      <c r="H133" s="83">
        <f>IF($A133="","",SUMPRODUCT(($B$5:$B133="Receita")*$E$5:$E133)-SUMPRODUCT((($B$5:$B133="Despesa")+($B$5:$B133="Investimento"))*$E$5:$E133))</f>
        <v/>
      </c>
    </row>
    <row r="134">
      <c r="A134" s="79" t="n"/>
      <c r="B134" s="80" t="n"/>
      <c r="C134" s="80" t="n"/>
      <c r="D134" s="80" t="n"/>
      <c r="E134" s="81" t="n"/>
      <c r="F134" s="80" t="n"/>
      <c r="G134" s="82">
        <f>IF($A134="","",MONTH($A134))</f>
        <v/>
      </c>
      <c r="H134" s="83">
        <f>IF($A134="","",SUMPRODUCT(($B$5:$B134="Receita")*$E$5:$E134)-SUMPRODUCT((($B$5:$B134="Despesa")+($B$5:$B134="Investimento"))*$E$5:$E134))</f>
        <v/>
      </c>
    </row>
    <row r="135">
      <c r="A135" s="79" t="n"/>
      <c r="B135" s="80" t="n"/>
      <c r="C135" s="80" t="n"/>
      <c r="D135" s="80" t="n"/>
      <c r="E135" s="81" t="n"/>
      <c r="F135" s="80" t="n"/>
      <c r="G135" s="82">
        <f>IF($A135="","",MONTH($A135))</f>
        <v/>
      </c>
      <c r="H135" s="83">
        <f>IF($A135="","",SUMPRODUCT(($B$5:$B135="Receita")*$E$5:$E135)-SUMPRODUCT((($B$5:$B135="Despesa")+($B$5:$B135="Investimento"))*$E$5:$E135))</f>
        <v/>
      </c>
    </row>
    <row r="136">
      <c r="A136" s="79" t="n"/>
      <c r="B136" s="80" t="n"/>
      <c r="C136" s="80" t="n"/>
      <c r="D136" s="80" t="n"/>
      <c r="E136" s="81" t="n"/>
      <c r="F136" s="80" t="n"/>
      <c r="G136" s="82">
        <f>IF($A136="","",MONTH($A136))</f>
        <v/>
      </c>
      <c r="H136" s="83">
        <f>IF($A136="","",SUMPRODUCT(($B$5:$B136="Receita")*$E$5:$E136)-SUMPRODUCT((($B$5:$B136="Despesa")+($B$5:$B136="Investimento"))*$E$5:$E136))</f>
        <v/>
      </c>
    </row>
    <row r="137">
      <c r="A137" s="79" t="n"/>
      <c r="B137" s="80" t="n"/>
      <c r="C137" s="80" t="n"/>
      <c r="D137" s="80" t="n"/>
      <c r="E137" s="81" t="n"/>
      <c r="F137" s="80" t="n"/>
      <c r="G137" s="82">
        <f>IF($A137="","",MONTH($A137))</f>
        <v/>
      </c>
      <c r="H137" s="83">
        <f>IF($A137="","",SUMPRODUCT(($B$5:$B137="Receita")*$E$5:$E137)-SUMPRODUCT((($B$5:$B137="Despesa")+($B$5:$B137="Investimento"))*$E$5:$E137))</f>
        <v/>
      </c>
    </row>
    <row r="138">
      <c r="A138" s="79" t="n"/>
      <c r="B138" s="80" t="n"/>
      <c r="C138" s="80" t="n"/>
      <c r="D138" s="80" t="n"/>
      <c r="E138" s="81" t="n"/>
      <c r="F138" s="80" t="n"/>
      <c r="G138" s="82">
        <f>IF($A138="","",MONTH($A138))</f>
        <v/>
      </c>
      <c r="H138" s="83">
        <f>IF($A138="","",SUMPRODUCT(($B$5:$B138="Receita")*$E$5:$E138)-SUMPRODUCT((($B$5:$B138="Despesa")+($B$5:$B138="Investimento"))*$E$5:$E138))</f>
        <v/>
      </c>
    </row>
    <row r="139">
      <c r="A139" s="79" t="n"/>
      <c r="B139" s="80" t="n"/>
      <c r="C139" s="80" t="n"/>
      <c r="D139" s="80" t="n"/>
      <c r="E139" s="81" t="n"/>
      <c r="F139" s="80" t="n"/>
      <c r="G139" s="82">
        <f>IF($A139="","",MONTH($A139))</f>
        <v/>
      </c>
      <c r="H139" s="83">
        <f>IF($A139="","",SUMPRODUCT(($B$5:$B139="Receita")*$E$5:$E139)-SUMPRODUCT((($B$5:$B139="Despesa")+($B$5:$B139="Investimento"))*$E$5:$E139))</f>
        <v/>
      </c>
    </row>
    <row r="140">
      <c r="A140" s="79" t="n"/>
      <c r="B140" s="80" t="n"/>
      <c r="C140" s="80" t="n"/>
      <c r="D140" s="80" t="n"/>
      <c r="E140" s="81" t="n"/>
      <c r="F140" s="80" t="n"/>
      <c r="G140" s="82">
        <f>IF($A140="","",MONTH($A140))</f>
        <v/>
      </c>
      <c r="H140" s="83">
        <f>IF($A140="","",SUMPRODUCT(($B$5:$B140="Receita")*$E$5:$E140)-SUMPRODUCT((($B$5:$B140="Despesa")+($B$5:$B140="Investimento"))*$E$5:$E140))</f>
        <v/>
      </c>
    </row>
    <row r="141">
      <c r="A141" s="79" t="n"/>
      <c r="B141" s="80" t="n"/>
      <c r="C141" s="80" t="n"/>
      <c r="D141" s="80" t="n"/>
      <c r="E141" s="81" t="n"/>
      <c r="F141" s="80" t="n"/>
      <c r="G141" s="82">
        <f>IF($A141="","",MONTH($A141))</f>
        <v/>
      </c>
      <c r="H141" s="83">
        <f>IF($A141="","",SUMPRODUCT(($B$5:$B141="Receita")*$E$5:$E141)-SUMPRODUCT((($B$5:$B141="Despesa")+($B$5:$B141="Investimento"))*$E$5:$E141))</f>
        <v/>
      </c>
    </row>
    <row r="142">
      <c r="A142" s="79" t="n"/>
      <c r="B142" s="80" t="n"/>
      <c r="C142" s="80" t="n"/>
      <c r="D142" s="80" t="n"/>
      <c r="E142" s="81" t="n"/>
      <c r="F142" s="80" t="n"/>
      <c r="G142" s="82">
        <f>IF($A142="","",MONTH($A142))</f>
        <v/>
      </c>
      <c r="H142" s="83">
        <f>IF($A142="","",SUMPRODUCT(($B$5:$B142="Receita")*$E$5:$E142)-SUMPRODUCT((($B$5:$B142="Despesa")+($B$5:$B142="Investimento"))*$E$5:$E142))</f>
        <v/>
      </c>
    </row>
    <row r="143">
      <c r="A143" s="79" t="n"/>
      <c r="B143" s="80" t="n"/>
      <c r="C143" s="80" t="n"/>
      <c r="D143" s="80" t="n"/>
      <c r="E143" s="81" t="n"/>
      <c r="F143" s="80" t="n"/>
      <c r="G143" s="82">
        <f>IF($A143="","",MONTH($A143))</f>
        <v/>
      </c>
      <c r="H143" s="83">
        <f>IF($A143="","",SUMPRODUCT(($B$5:$B143="Receita")*$E$5:$E143)-SUMPRODUCT((($B$5:$B143="Despesa")+($B$5:$B143="Investimento"))*$E$5:$E143))</f>
        <v/>
      </c>
    </row>
    <row r="144">
      <c r="A144" s="79" t="n"/>
      <c r="B144" s="80" t="n"/>
      <c r="C144" s="80" t="n"/>
      <c r="D144" s="80" t="n"/>
      <c r="E144" s="81" t="n"/>
      <c r="F144" s="80" t="n"/>
      <c r="G144" s="82">
        <f>IF($A144="","",MONTH($A144))</f>
        <v/>
      </c>
      <c r="H144" s="83">
        <f>IF($A144="","",SUMPRODUCT(($B$5:$B144="Receita")*$E$5:$E144)-SUMPRODUCT((($B$5:$B144="Despesa")+($B$5:$B144="Investimento"))*$E$5:$E144))</f>
        <v/>
      </c>
    </row>
    <row r="145">
      <c r="A145" s="79" t="n"/>
      <c r="B145" s="80" t="n"/>
      <c r="C145" s="80" t="n"/>
      <c r="D145" s="80" t="n"/>
      <c r="E145" s="81" t="n"/>
      <c r="F145" s="80" t="n"/>
      <c r="G145" s="82">
        <f>IF($A145="","",MONTH($A145))</f>
        <v/>
      </c>
      <c r="H145" s="83">
        <f>IF($A145="","",SUMPRODUCT(($B$5:$B145="Receita")*$E$5:$E145)-SUMPRODUCT((($B$5:$B145="Despesa")+($B$5:$B145="Investimento"))*$E$5:$E145))</f>
        <v/>
      </c>
    </row>
    <row r="146">
      <c r="A146" s="79" t="n"/>
      <c r="B146" s="80" t="n"/>
      <c r="C146" s="80" t="n"/>
      <c r="D146" s="80" t="n"/>
      <c r="E146" s="81" t="n"/>
      <c r="F146" s="80" t="n"/>
      <c r="G146" s="82">
        <f>IF($A146="","",MONTH($A146))</f>
        <v/>
      </c>
      <c r="H146" s="83">
        <f>IF($A146="","",SUMPRODUCT(($B$5:$B146="Receita")*$E$5:$E146)-SUMPRODUCT((($B$5:$B146="Despesa")+($B$5:$B146="Investimento"))*$E$5:$E146))</f>
        <v/>
      </c>
    </row>
    <row r="147">
      <c r="A147" s="79" t="n"/>
      <c r="B147" s="80" t="n"/>
      <c r="C147" s="80" t="n"/>
      <c r="D147" s="80" t="n"/>
      <c r="E147" s="81" t="n"/>
      <c r="F147" s="80" t="n"/>
      <c r="G147" s="82">
        <f>IF($A147="","",MONTH($A147))</f>
        <v/>
      </c>
      <c r="H147" s="83">
        <f>IF($A147="","",SUMPRODUCT(($B$5:$B147="Receita")*$E$5:$E147)-SUMPRODUCT((($B$5:$B147="Despesa")+($B$5:$B147="Investimento"))*$E$5:$E147))</f>
        <v/>
      </c>
    </row>
    <row r="148">
      <c r="A148" s="79" t="n"/>
      <c r="B148" s="80" t="n"/>
      <c r="C148" s="80" t="n"/>
      <c r="D148" s="80" t="n"/>
      <c r="E148" s="81" t="n"/>
      <c r="F148" s="80" t="n"/>
      <c r="G148" s="82">
        <f>IF($A148="","",MONTH($A148))</f>
        <v/>
      </c>
      <c r="H148" s="83">
        <f>IF($A148="","",SUMPRODUCT(($B$5:$B148="Receita")*$E$5:$E148)-SUMPRODUCT((($B$5:$B148="Despesa")+($B$5:$B148="Investimento"))*$E$5:$E148))</f>
        <v/>
      </c>
    </row>
    <row r="149">
      <c r="A149" s="79" t="n"/>
      <c r="B149" s="80" t="n"/>
      <c r="C149" s="80" t="n"/>
      <c r="D149" s="80" t="n"/>
      <c r="E149" s="81" t="n"/>
      <c r="F149" s="80" t="n"/>
      <c r="G149" s="82">
        <f>IF($A149="","",MONTH($A149))</f>
        <v/>
      </c>
      <c r="H149" s="83">
        <f>IF($A149="","",SUMPRODUCT(($B$5:$B149="Receita")*$E$5:$E149)-SUMPRODUCT((($B$5:$B149="Despesa")+($B$5:$B149="Investimento"))*$E$5:$E149))</f>
        <v/>
      </c>
    </row>
    <row r="150">
      <c r="A150" s="79" t="n"/>
      <c r="B150" s="80" t="n"/>
      <c r="C150" s="80" t="n"/>
      <c r="D150" s="80" t="n"/>
      <c r="E150" s="81" t="n"/>
      <c r="F150" s="80" t="n"/>
      <c r="G150" s="82">
        <f>IF($A150="","",MONTH($A150))</f>
        <v/>
      </c>
      <c r="H150" s="83">
        <f>IF($A150="","",SUMPRODUCT(($B$5:$B150="Receita")*$E$5:$E150)-SUMPRODUCT((($B$5:$B150="Despesa")+($B$5:$B150="Investimento"))*$E$5:$E150))</f>
        <v/>
      </c>
    </row>
    <row r="151">
      <c r="A151" s="79" t="n"/>
      <c r="B151" s="80" t="n"/>
      <c r="C151" s="80" t="n"/>
      <c r="D151" s="80" t="n"/>
      <c r="E151" s="81" t="n"/>
      <c r="F151" s="80" t="n"/>
      <c r="G151" s="82">
        <f>IF($A151="","",MONTH($A151))</f>
        <v/>
      </c>
      <c r="H151" s="83">
        <f>IF($A151="","",SUMPRODUCT(($B$5:$B151="Receita")*$E$5:$E151)-SUMPRODUCT((($B$5:$B151="Despesa")+($B$5:$B151="Investimento"))*$E$5:$E151))</f>
        <v/>
      </c>
    </row>
    <row r="152">
      <c r="A152" s="79" t="n"/>
      <c r="B152" s="80" t="n"/>
      <c r="C152" s="80" t="n"/>
      <c r="D152" s="80" t="n"/>
      <c r="E152" s="81" t="n"/>
      <c r="F152" s="80" t="n"/>
      <c r="G152" s="82">
        <f>IF($A152="","",MONTH($A152))</f>
        <v/>
      </c>
      <c r="H152" s="83">
        <f>IF($A152="","",SUMPRODUCT(($B$5:$B152="Receita")*$E$5:$E152)-SUMPRODUCT((($B$5:$B152="Despesa")+($B$5:$B152="Investimento"))*$E$5:$E152))</f>
        <v/>
      </c>
    </row>
    <row r="153">
      <c r="A153" s="79" t="n"/>
      <c r="B153" s="80" t="n"/>
      <c r="C153" s="80" t="n"/>
      <c r="D153" s="80" t="n"/>
      <c r="E153" s="81" t="n"/>
      <c r="F153" s="80" t="n"/>
      <c r="G153" s="82">
        <f>IF($A153="","",MONTH($A153))</f>
        <v/>
      </c>
      <c r="H153" s="83">
        <f>IF($A153="","",SUMPRODUCT(($B$5:$B153="Receita")*$E$5:$E153)-SUMPRODUCT((($B$5:$B153="Despesa")+($B$5:$B153="Investimento"))*$E$5:$E153))</f>
        <v/>
      </c>
    </row>
    <row r="154">
      <c r="A154" s="79" t="n"/>
      <c r="B154" s="80" t="n"/>
      <c r="C154" s="80" t="n"/>
      <c r="D154" s="80" t="n"/>
      <c r="E154" s="81" t="n"/>
      <c r="F154" s="80" t="n"/>
      <c r="G154" s="82">
        <f>IF($A154="","",MONTH($A154))</f>
        <v/>
      </c>
      <c r="H154" s="83">
        <f>IF($A154="","",SUMPRODUCT(($B$5:$B154="Receita")*$E$5:$E154)-SUMPRODUCT((($B$5:$B154="Despesa")+($B$5:$B154="Investimento"))*$E$5:$E154))</f>
        <v/>
      </c>
    </row>
    <row r="155">
      <c r="A155" s="79" t="n"/>
      <c r="B155" s="80" t="n"/>
      <c r="C155" s="80" t="n"/>
      <c r="D155" s="80" t="n"/>
      <c r="E155" s="81" t="n"/>
      <c r="F155" s="80" t="n"/>
      <c r="G155" s="82">
        <f>IF($A155="","",MONTH($A155))</f>
        <v/>
      </c>
      <c r="H155" s="83">
        <f>IF($A155="","",SUMPRODUCT(($B$5:$B155="Receita")*$E$5:$E155)-SUMPRODUCT((($B$5:$B155="Despesa")+($B$5:$B155="Investimento"))*$E$5:$E155))</f>
        <v/>
      </c>
    </row>
    <row r="156">
      <c r="A156" s="79" t="n"/>
      <c r="B156" s="80" t="n"/>
      <c r="C156" s="80" t="n"/>
      <c r="D156" s="80" t="n"/>
      <c r="E156" s="81" t="n"/>
      <c r="F156" s="80" t="n"/>
      <c r="G156" s="82">
        <f>IF($A156="","",MONTH($A156))</f>
        <v/>
      </c>
      <c r="H156" s="83">
        <f>IF($A156="","",SUMPRODUCT(($B$5:$B156="Receita")*$E$5:$E156)-SUMPRODUCT((($B$5:$B156="Despesa")+($B$5:$B156="Investimento"))*$E$5:$E156))</f>
        <v/>
      </c>
    </row>
    <row r="157">
      <c r="A157" s="79" t="n"/>
      <c r="B157" s="80" t="n"/>
      <c r="C157" s="80" t="n"/>
      <c r="D157" s="80" t="n"/>
      <c r="E157" s="81" t="n"/>
      <c r="F157" s="80" t="n"/>
      <c r="G157" s="82">
        <f>IF($A157="","",MONTH($A157))</f>
        <v/>
      </c>
      <c r="H157" s="83">
        <f>IF($A157="","",SUMPRODUCT(($B$5:$B157="Receita")*$E$5:$E157)-SUMPRODUCT((($B$5:$B157="Despesa")+($B$5:$B157="Investimento"))*$E$5:$E157))</f>
        <v/>
      </c>
    </row>
    <row r="158">
      <c r="A158" s="79" t="n"/>
      <c r="B158" s="80" t="n"/>
      <c r="C158" s="80" t="n"/>
      <c r="D158" s="80" t="n"/>
      <c r="E158" s="81" t="n"/>
      <c r="F158" s="80" t="n"/>
      <c r="G158" s="82">
        <f>IF($A158="","",MONTH($A158))</f>
        <v/>
      </c>
      <c r="H158" s="83">
        <f>IF($A158="","",SUMPRODUCT(($B$5:$B158="Receita")*$E$5:$E158)-SUMPRODUCT((($B$5:$B158="Despesa")+($B$5:$B158="Investimento"))*$E$5:$E158))</f>
        <v/>
      </c>
    </row>
    <row r="159">
      <c r="A159" s="79" t="n"/>
      <c r="B159" s="80" t="n"/>
      <c r="C159" s="80" t="n"/>
      <c r="D159" s="80" t="n"/>
      <c r="E159" s="81" t="n"/>
      <c r="F159" s="80" t="n"/>
      <c r="G159" s="82">
        <f>IF($A159="","",MONTH($A159))</f>
        <v/>
      </c>
      <c r="H159" s="83">
        <f>IF($A159="","",SUMPRODUCT(($B$5:$B159="Receita")*$E$5:$E159)-SUMPRODUCT((($B$5:$B159="Despesa")+($B$5:$B159="Investimento"))*$E$5:$E159))</f>
        <v/>
      </c>
    </row>
    <row r="160">
      <c r="A160" s="79" t="n"/>
      <c r="B160" s="80" t="n"/>
      <c r="C160" s="80" t="n"/>
      <c r="D160" s="80" t="n"/>
      <c r="E160" s="81" t="n"/>
      <c r="F160" s="80" t="n"/>
      <c r="G160" s="82">
        <f>IF($A160="","",MONTH($A160))</f>
        <v/>
      </c>
      <c r="H160" s="83">
        <f>IF($A160="","",SUMPRODUCT(($B$5:$B160="Receita")*$E$5:$E160)-SUMPRODUCT((($B$5:$B160="Despesa")+($B$5:$B160="Investimento"))*$E$5:$E160))</f>
        <v/>
      </c>
    </row>
    <row r="161">
      <c r="A161" s="79" t="n"/>
      <c r="B161" s="80" t="n"/>
      <c r="C161" s="80" t="n"/>
      <c r="D161" s="80" t="n"/>
      <c r="E161" s="81" t="n"/>
      <c r="F161" s="80" t="n"/>
      <c r="G161" s="82">
        <f>IF($A161="","",MONTH($A161))</f>
        <v/>
      </c>
      <c r="H161" s="83">
        <f>IF($A161="","",SUMPRODUCT(($B$5:$B161="Receita")*$E$5:$E161)-SUMPRODUCT((($B$5:$B161="Despesa")+($B$5:$B161="Investimento"))*$E$5:$E161))</f>
        <v/>
      </c>
    </row>
    <row r="162">
      <c r="A162" s="79" t="n"/>
      <c r="B162" s="80" t="n"/>
      <c r="C162" s="80" t="n"/>
      <c r="D162" s="80" t="n"/>
      <c r="E162" s="81" t="n"/>
      <c r="F162" s="80" t="n"/>
      <c r="G162" s="82">
        <f>IF($A162="","",MONTH($A162))</f>
        <v/>
      </c>
      <c r="H162" s="83">
        <f>IF($A162="","",SUMPRODUCT(($B$5:$B162="Receita")*$E$5:$E162)-SUMPRODUCT((($B$5:$B162="Despesa")+($B$5:$B162="Investimento"))*$E$5:$E162))</f>
        <v/>
      </c>
    </row>
    <row r="163">
      <c r="A163" s="79" t="n"/>
      <c r="B163" s="80" t="n"/>
      <c r="C163" s="80" t="n"/>
      <c r="D163" s="80" t="n"/>
      <c r="E163" s="81" t="n"/>
      <c r="F163" s="80" t="n"/>
      <c r="G163" s="82">
        <f>IF($A163="","",MONTH($A163))</f>
        <v/>
      </c>
      <c r="H163" s="83">
        <f>IF($A163="","",SUMPRODUCT(($B$5:$B163="Receita")*$E$5:$E163)-SUMPRODUCT((($B$5:$B163="Despesa")+($B$5:$B163="Investimento"))*$E$5:$E163))</f>
        <v/>
      </c>
    </row>
    <row r="164">
      <c r="A164" s="79" t="n"/>
      <c r="B164" s="80" t="n"/>
      <c r="C164" s="80" t="n"/>
      <c r="D164" s="80" t="n"/>
      <c r="E164" s="81" t="n"/>
      <c r="F164" s="80" t="n"/>
      <c r="G164" s="82">
        <f>IF($A164="","",MONTH($A164))</f>
        <v/>
      </c>
      <c r="H164" s="83">
        <f>IF($A164="","",SUMPRODUCT(($B$5:$B164="Receita")*$E$5:$E164)-SUMPRODUCT((($B$5:$B164="Despesa")+($B$5:$B164="Investimento"))*$E$5:$E164))</f>
        <v/>
      </c>
    </row>
    <row r="165">
      <c r="A165" s="79" t="n"/>
      <c r="B165" s="80" t="n"/>
      <c r="C165" s="80" t="n"/>
      <c r="D165" s="80" t="n"/>
      <c r="E165" s="81" t="n"/>
      <c r="F165" s="80" t="n"/>
      <c r="G165" s="82">
        <f>IF($A165="","",MONTH($A165))</f>
        <v/>
      </c>
      <c r="H165" s="83">
        <f>IF($A165="","",SUMPRODUCT(($B$5:$B165="Receita")*$E$5:$E165)-SUMPRODUCT((($B$5:$B165="Despesa")+($B$5:$B165="Investimento"))*$E$5:$E165))</f>
        <v/>
      </c>
    </row>
    <row r="166">
      <c r="A166" s="79" t="n"/>
      <c r="B166" s="80" t="n"/>
      <c r="C166" s="80" t="n"/>
      <c r="D166" s="80" t="n"/>
      <c r="E166" s="81" t="n"/>
      <c r="F166" s="80" t="n"/>
      <c r="G166" s="82">
        <f>IF($A166="","",MONTH($A166))</f>
        <v/>
      </c>
      <c r="H166" s="83">
        <f>IF($A166="","",SUMPRODUCT(($B$5:$B166="Receita")*$E$5:$E166)-SUMPRODUCT((($B$5:$B166="Despesa")+($B$5:$B166="Investimento"))*$E$5:$E166))</f>
        <v/>
      </c>
    </row>
    <row r="167">
      <c r="A167" s="79" t="n"/>
      <c r="B167" s="80" t="n"/>
      <c r="C167" s="80" t="n"/>
      <c r="D167" s="80" t="n"/>
      <c r="E167" s="81" t="n"/>
      <c r="F167" s="80" t="n"/>
      <c r="G167" s="82">
        <f>IF($A167="","",MONTH($A167))</f>
        <v/>
      </c>
      <c r="H167" s="83">
        <f>IF($A167="","",SUMPRODUCT(($B$5:$B167="Receita")*$E$5:$E167)-SUMPRODUCT((($B$5:$B167="Despesa")+($B$5:$B167="Investimento"))*$E$5:$E167))</f>
        <v/>
      </c>
    </row>
    <row r="168">
      <c r="A168" s="79" t="n"/>
      <c r="B168" s="80" t="n"/>
      <c r="C168" s="80" t="n"/>
      <c r="D168" s="80" t="n"/>
      <c r="E168" s="81" t="n"/>
      <c r="F168" s="80" t="n"/>
      <c r="G168" s="82">
        <f>IF($A168="","",MONTH($A168))</f>
        <v/>
      </c>
      <c r="H168" s="83">
        <f>IF($A168="","",SUMPRODUCT(($B$5:$B168="Receita")*$E$5:$E168)-SUMPRODUCT((($B$5:$B168="Despesa")+($B$5:$B168="Investimento"))*$E$5:$E168))</f>
        <v/>
      </c>
    </row>
    <row r="169">
      <c r="A169" s="79" t="n"/>
      <c r="B169" s="80" t="n"/>
      <c r="C169" s="80" t="n"/>
      <c r="D169" s="80" t="n"/>
      <c r="E169" s="81" t="n"/>
      <c r="F169" s="80" t="n"/>
      <c r="G169" s="82">
        <f>IF($A169="","",MONTH($A169))</f>
        <v/>
      </c>
      <c r="H169" s="83">
        <f>IF($A169="","",SUMPRODUCT(($B$5:$B169="Receita")*$E$5:$E169)-SUMPRODUCT((($B$5:$B169="Despesa")+($B$5:$B169="Investimento"))*$E$5:$E169))</f>
        <v/>
      </c>
    </row>
    <row r="170">
      <c r="A170" s="79" t="n"/>
      <c r="B170" s="80" t="n"/>
      <c r="C170" s="80" t="n"/>
      <c r="D170" s="80" t="n"/>
      <c r="E170" s="81" t="n"/>
      <c r="F170" s="80" t="n"/>
      <c r="G170" s="82">
        <f>IF($A170="","",MONTH($A170))</f>
        <v/>
      </c>
      <c r="H170" s="83">
        <f>IF($A170="","",SUMPRODUCT(($B$5:$B170="Receita")*$E$5:$E170)-SUMPRODUCT((($B$5:$B170="Despesa")+($B$5:$B170="Investimento"))*$E$5:$E170))</f>
        <v/>
      </c>
    </row>
    <row r="171">
      <c r="A171" s="79" t="n"/>
      <c r="B171" s="80" t="n"/>
      <c r="C171" s="80" t="n"/>
      <c r="D171" s="80" t="n"/>
      <c r="E171" s="81" t="n"/>
      <c r="F171" s="80" t="n"/>
      <c r="G171" s="82">
        <f>IF($A171="","",MONTH($A171))</f>
        <v/>
      </c>
      <c r="H171" s="83">
        <f>IF($A171="","",SUMPRODUCT(($B$5:$B171="Receita")*$E$5:$E171)-SUMPRODUCT((($B$5:$B171="Despesa")+($B$5:$B171="Investimento"))*$E$5:$E171))</f>
        <v/>
      </c>
    </row>
    <row r="172">
      <c r="A172" s="79" t="n"/>
      <c r="B172" s="80" t="n"/>
      <c r="C172" s="80" t="n"/>
      <c r="D172" s="80" t="n"/>
      <c r="E172" s="81" t="n"/>
      <c r="F172" s="80" t="n"/>
      <c r="G172" s="82">
        <f>IF($A172="","",MONTH($A172))</f>
        <v/>
      </c>
      <c r="H172" s="83">
        <f>IF($A172="","",SUMPRODUCT(($B$5:$B172="Receita")*$E$5:$E172)-SUMPRODUCT((($B$5:$B172="Despesa")+($B$5:$B172="Investimento"))*$E$5:$E172))</f>
        <v/>
      </c>
    </row>
    <row r="173">
      <c r="A173" s="79" t="n"/>
      <c r="B173" s="80" t="n"/>
      <c r="C173" s="80" t="n"/>
      <c r="D173" s="80" t="n"/>
      <c r="E173" s="81" t="n"/>
      <c r="F173" s="80" t="n"/>
      <c r="G173" s="82">
        <f>IF($A173="","",MONTH($A173))</f>
        <v/>
      </c>
      <c r="H173" s="83">
        <f>IF($A173="","",SUMPRODUCT(($B$5:$B173="Receita")*$E$5:$E173)-SUMPRODUCT((($B$5:$B173="Despesa")+($B$5:$B173="Investimento"))*$E$5:$E173))</f>
        <v/>
      </c>
    </row>
    <row r="174">
      <c r="A174" s="79" t="n"/>
      <c r="B174" s="80" t="n"/>
      <c r="C174" s="80" t="n"/>
      <c r="D174" s="80" t="n"/>
      <c r="E174" s="81" t="n"/>
      <c r="F174" s="80" t="n"/>
      <c r="G174" s="82">
        <f>IF($A174="","",MONTH($A174))</f>
        <v/>
      </c>
      <c r="H174" s="83">
        <f>IF($A174="","",SUMPRODUCT(($B$5:$B174="Receita")*$E$5:$E174)-SUMPRODUCT((($B$5:$B174="Despesa")+($B$5:$B174="Investimento"))*$E$5:$E174))</f>
        <v/>
      </c>
    </row>
    <row r="175">
      <c r="A175" s="79" t="n"/>
      <c r="B175" s="80" t="n"/>
      <c r="C175" s="80" t="n"/>
      <c r="D175" s="80" t="n"/>
      <c r="E175" s="81" t="n"/>
      <c r="F175" s="80" t="n"/>
      <c r="G175" s="82">
        <f>IF($A175="","",MONTH($A175))</f>
        <v/>
      </c>
      <c r="H175" s="83">
        <f>IF($A175="","",SUMPRODUCT(($B$5:$B175="Receita")*$E$5:$E175)-SUMPRODUCT((($B$5:$B175="Despesa")+($B$5:$B175="Investimento"))*$E$5:$E175))</f>
        <v/>
      </c>
    </row>
    <row r="176">
      <c r="A176" s="79" t="n"/>
      <c r="B176" s="80" t="n"/>
      <c r="C176" s="80" t="n"/>
      <c r="D176" s="80" t="n"/>
      <c r="E176" s="81" t="n"/>
      <c r="F176" s="80" t="n"/>
      <c r="G176" s="82">
        <f>IF($A176="","",MONTH($A176))</f>
        <v/>
      </c>
      <c r="H176" s="83">
        <f>IF($A176="","",SUMPRODUCT(($B$5:$B176="Receita")*$E$5:$E176)-SUMPRODUCT((($B$5:$B176="Despesa")+($B$5:$B176="Investimento"))*$E$5:$E176))</f>
        <v/>
      </c>
    </row>
    <row r="177">
      <c r="A177" s="79" t="n"/>
      <c r="B177" s="80" t="n"/>
      <c r="C177" s="80" t="n"/>
      <c r="D177" s="80" t="n"/>
      <c r="E177" s="81" t="n"/>
      <c r="F177" s="80" t="n"/>
      <c r="G177" s="82">
        <f>IF($A177="","",MONTH($A177))</f>
        <v/>
      </c>
      <c r="H177" s="83">
        <f>IF($A177="","",SUMPRODUCT(($B$5:$B177="Receita")*$E$5:$E177)-SUMPRODUCT((($B$5:$B177="Despesa")+($B$5:$B177="Investimento"))*$E$5:$E177))</f>
        <v/>
      </c>
    </row>
    <row r="178">
      <c r="A178" s="79" t="n"/>
      <c r="B178" s="80" t="n"/>
      <c r="C178" s="80" t="n"/>
      <c r="D178" s="80" t="n"/>
      <c r="E178" s="81" t="n"/>
      <c r="F178" s="80" t="n"/>
      <c r="G178" s="82">
        <f>IF($A178="","",MONTH($A178))</f>
        <v/>
      </c>
      <c r="H178" s="83">
        <f>IF($A178="","",SUMPRODUCT(($B$5:$B178="Receita")*$E$5:$E178)-SUMPRODUCT((($B$5:$B178="Despesa")+($B$5:$B178="Investimento"))*$E$5:$E178))</f>
        <v/>
      </c>
    </row>
    <row r="179">
      <c r="A179" s="79" t="n"/>
      <c r="B179" s="80" t="n"/>
      <c r="C179" s="80" t="n"/>
      <c r="D179" s="80" t="n"/>
      <c r="E179" s="81" t="n"/>
      <c r="F179" s="80" t="n"/>
      <c r="G179" s="82">
        <f>IF($A179="","",MONTH($A179))</f>
        <v/>
      </c>
      <c r="H179" s="83">
        <f>IF($A179="","",SUMPRODUCT(($B$5:$B179="Receita")*$E$5:$E179)-SUMPRODUCT((($B$5:$B179="Despesa")+($B$5:$B179="Investimento"))*$E$5:$E179))</f>
        <v/>
      </c>
    </row>
    <row r="180">
      <c r="A180" s="79" t="n"/>
      <c r="B180" s="80" t="n"/>
      <c r="C180" s="80" t="n"/>
      <c r="D180" s="80" t="n"/>
      <c r="E180" s="81" t="n"/>
      <c r="F180" s="80" t="n"/>
      <c r="G180" s="82">
        <f>IF($A180="","",MONTH($A180))</f>
        <v/>
      </c>
      <c r="H180" s="83">
        <f>IF($A180="","",SUMPRODUCT(($B$5:$B180="Receita")*$E$5:$E180)-SUMPRODUCT((($B$5:$B180="Despesa")+($B$5:$B180="Investimento"))*$E$5:$E180))</f>
        <v/>
      </c>
    </row>
    <row r="181">
      <c r="A181" s="79" t="n"/>
      <c r="B181" s="80" t="n"/>
      <c r="C181" s="80" t="n"/>
      <c r="D181" s="80" t="n"/>
      <c r="E181" s="81" t="n"/>
      <c r="F181" s="80" t="n"/>
      <c r="G181" s="82">
        <f>IF($A181="","",MONTH($A181))</f>
        <v/>
      </c>
      <c r="H181" s="83">
        <f>IF($A181="","",SUMPRODUCT(($B$5:$B181="Receita")*$E$5:$E181)-SUMPRODUCT((($B$5:$B181="Despesa")+($B$5:$B181="Investimento"))*$E$5:$E181))</f>
        <v/>
      </c>
    </row>
    <row r="182">
      <c r="A182" s="79" t="n"/>
      <c r="B182" s="80" t="n"/>
      <c r="C182" s="80" t="n"/>
      <c r="D182" s="80" t="n"/>
      <c r="E182" s="81" t="n"/>
      <c r="F182" s="80" t="n"/>
      <c r="G182" s="82">
        <f>IF($A182="","",MONTH($A182))</f>
        <v/>
      </c>
      <c r="H182" s="83">
        <f>IF($A182="","",SUMPRODUCT(($B$5:$B182="Receita")*$E$5:$E182)-SUMPRODUCT((($B$5:$B182="Despesa")+($B$5:$B182="Investimento"))*$E$5:$E182))</f>
        <v/>
      </c>
    </row>
    <row r="183">
      <c r="A183" s="79" t="n"/>
      <c r="B183" s="80" t="n"/>
      <c r="C183" s="80" t="n"/>
      <c r="D183" s="80" t="n"/>
      <c r="E183" s="81" t="n"/>
      <c r="F183" s="80" t="n"/>
      <c r="G183" s="82">
        <f>IF($A183="","",MONTH($A183))</f>
        <v/>
      </c>
      <c r="H183" s="83">
        <f>IF($A183="","",SUMPRODUCT(($B$5:$B183="Receita")*$E$5:$E183)-SUMPRODUCT((($B$5:$B183="Despesa")+($B$5:$B183="Investimento"))*$E$5:$E183))</f>
        <v/>
      </c>
    </row>
    <row r="184">
      <c r="A184" s="79" t="n"/>
      <c r="B184" s="80" t="n"/>
      <c r="C184" s="80" t="n"/>
      <c r="D184" s="80" t="n"/>
      <c r="E184" s="81" t="n"/>
      <c r="F184" s="80" t="n"/>
      <c r="G184" s="82">
        <f>IF($A184="","",MONTH($A184))</f>
        <v/>
      </c>
      <c r="H184" s="83">
        <f>IF($A184="","",SUMPRODUCT(($B$5:$B184="Receita")*$E$5:$E184)-SUMPRODUCT((($B$5:$B184="Despesa")+($B$5:$B184="Investimento"))*$E$5:$E184))</f>
        <v/>
      </c>
    </row>
    <row r="185">
      <c r="A185" s="79" t="n"/>
      <c r="B185" s="80" t="n"/>
      <c r="C185" s="80" t="n"/>
      <c r="D185" s="80" t="n"/>
      <c r="E185" s="81" t="n"/>
      <c r="F185" s="80" t="n"/>
      <c r="G185" s="82">
        <f>IF($A185="","",MONTH($A185))</f>
        <v/>
      </c>
      <c r="H185" s="83">
        <f>IF($A185="","",SUMPRODUCT(($B$5:$B185="Receita")*$E$5:$E185)-SUMPRODUCT((($B$5:$B185="Despesa")+($B$5:$B185="Investimento"))*$E$5:$E185))</f>
        <v/>
      </c>
    </row>
    <row r="186">
      <c r="A186" s="79" t="n"/>
      <c r="B186" s="80" t="n"/>
      <c r="C186" s="80" t="n"/>
      <c r="D186" s="80" t="n"/>
      <c r="E186" s="81" t="n"/>
      <c r="F186" s="80" t="n"/>
      <c r="G186" s="82">
        <f>IF($A186="","",MONTH($A186))</f>
        <v/>
      </c>
      <c r="H186" s="83">
        <f>IF($A186="","",SUMPRODUCT(($B$5:$B186="Receita")*$E$5:$E186)-SUMPRODUCT((($B$5:$B186="Despesa")+($B$5:$B186="Investimento"))*$E$5:$E186))</f>
        <v/>
      </c>
    </row>
    <row r="187">
      <c r="A187" s="79" t="n"/>
      <c r="B187" s="80" t="n"/>
      <c r="C187" s="80" t="n"/>
      <c r="D187" s="80" t="n"/>
      <c r="E187" s="81" t="n"/>
      <c r="F187" s="80" t="n"/>
      <c r="G187" s="82">
        <f>IF($A187="","",MONTH($A187))</f>
        <v/>
      </c>
      <c r="H187" s="83">
        <f>IF($A187="","",SUMPRODUCT(($B$5:$B187="Receita")*$E$5:$E187)-SUMPRODUCT((($B$5:$B187="Despesa")+($B$5:$B187="Investimento"))*$E$5:$E187))</f>
        <v/>
      </c>
    </row>
    <row r="188">
      <c r="A188" s="79" t="n"/>
      <c r="B188" s="80" t="n"/>
      <c r="C188" s="80" t="n"/>
      <c r="D188" s="80" t="n"/>
      <c r="E188" s="81" t="n"/>
      <c r="F188" s="80" t="n"/>
      <c r="G188" s="82">
        <f>IF($A188="","",MONTH($A188))</f>
        <v/>
      </c>
      <c r="H188" s="83">
        <f>IF($A188="","",SUMPRODUCT(($B$5:$B188="Receita")*$E$5:$E188)-SUMPRODUCT((($B$5:$B188="Despesa")+($B$5:$B188="Investimento"))*$E$5:$E188))</f>
        <v/>
      </c>
    </row>
    <row r="189">
      <c r="A189" s="79" t="n"/>
      <c r="B189" s="80" t="n"/>
      <c r="C189" s="80" t="n"/>
      <c r="D189" s="80" t="n"/>
      <c r="E189" s="81" t="n"/>
      <c r="F189" s="80" t="n"/>
      <c r="G189" s="82">
        <f>IF($A189="","",MONTH($A189))</f>
        <v/>
      </c>
      <c r="H189" s="83">
        <f>IF($A189="","",SUMPRODUCT(($B$5:$B189="Receita")*$E$5:$E189)-SUMPRODUCT((($B$5:$B189="Despesa")+($B$5:$B189="Investimento"))*$E$5:$E189))</f>
        <v/>
      </c>
    </row>
    <row r="190">
      <c r="A190" s="79" t="n"/>
      <c r="B190" s="80" t="n"/>
      <c r="C190" s="80" t="n"/>
      <c r="D190" s="80" t="n"/>
      <c r="E190" s="81" t="n"/>
      <c r="F190" s="80" t="n"/>
      <c r="G190" s="82">
        <f>IF($A190="","",MONTH($A190))</f>
        <v/>
      </c>
      <c r="H190" s="83">
        <f>IF($A190="","",SUMPRODUCT(($B$5:$B190="Receita")*$E$5:$E190)-SUMPRODUCT((($B$5:$B190="Despesa")+($B$5:$B190="Investimento"))*$E$5:$E190))</f>
        <v/>
      </c>
    </row>
    <row r="191">
      <c r="A191" s="79" t="n"/>
      <c r="B191" s="80" t="n"/>
      <c r="C191" s="80" t="n"/>
      <c r="D191" s="80" t="n"/>
      <c r="E191" s="81" t="n"/>
      <c r="F191" s="80" t="n"/>
      <c r="G191" s="82">
        <f>IF($A191="","",MONTH($A191))</f>
        <v/>
      </c>
      <c r="H191" s="83">
        <f>IF($A191="","",SUMPRODUCT(($B$5:$B191="Receita")*$E$5:$E191)-SUMPRODUCT((($B$5:$B191="Despesa")+($B$5:$B191="Investimento"))*$E$5:$E191))</f>
        <v/>
      </c>
    </row>
    <row r="192">
      <c r="A192" s="79" t="n"/>
      <c r="B192" s="80" t="n"/>
      <c r="C192" s="80" t="n"/>
      <c r="D192" s="80" t="n"/>
      <c r="E192" s="81" t="n"/>
      <c r="F192" s="80" t="n"/>
      <c r="G192" s="82">
        <f>IF($A192="","",MONTH($A192))</f>
        <v/>
      </c>
      <c r="H192" s="83">
        <f>IF($A192="","",SUMPRODUCT(($B$5:$B192="Receita")*$E$5:$E192)-SUMPRODUCT((($B$5:$B192="Despesa")+($B$5:$B192="Investimento"))*$E$5:$E192))</f>
        <v/>
      </c>
    </row>
    <row r="193">
      <c r="A193" s="79" t="n"/>
      <c r="B193" s="80" t="n"/>
      <c r="C193" s="80" t="n"/>
      <c r="D193" s="80" t="n"/>
      <c r="E193" s="81" t="n"/>
      <c r="F193" s="80" t="n"/>
      <c r="G193" s="82">
        <f>IF($A193="","",MONTH($A193))</f>
        <v/>
      </c>
      <c r="H193" s="83">
        <f>IF($A193="","",SUMPRODUCT(($B$5:$B193="Receita")*$E$5:$E193)-SUMPRODUCT((($B$5:$B193="Despesa")+($B$5:$B193="Investimento"))*$E$5:$E193))</f>
        <v/>
      </c>
    </row>
    <row r="194">
      <c r="A194" s="79" t="n"/>
      <c r="B194" s="80" t="n"/>
      <c r="C194" s="80" t="n"/>
      <c r="D194" s="80" t="n"/>
      <c r="E194" s="81" t="n"/>
      <c r="F194" s="80" t="n"/>
      <c r="G194" s="82">
        <f>IF($A194="","",MONTH($A194))</f>
        <v/>
      </c>
      <c r="H194" s="83">
        <f>IF($A194="","",SUMPRODUCT(($B$5:$B194="Receita")*$E$5:$E194)-SUMPRODUCT((($B$5:$B194="Despesa")+($B$5:$B194="Investimento"))*$E$5:$E194))</f>
        <v/>
      </c>
    </row>
    <row r="195">
      <c r="A195" s="79" t="n"/>
      <c r="B195" s="80" t="n"/>
      <c r="C195" s="80" t="n"/>
      <c r="D195" s="80" t="n"/>
      <c r="E195" s="81" t="n"/>
      <c r="F195" s="80" t="n"/>
      <c r="G195" s="82">
        <f>IF($A195="","",MONTH($A195))</f>
        <v/>
      </c>
      <c r="H195" s="83">
        <f>IF($A195="","",SUMPRODUCT(($B$5:$B195="Receita")*$E$5:$E195)-SUMPRODUCT((($B$5:$B195="Despesa")+($B$5:$B195="Investimento"))*$E$5:$E195))</f>
        <v/>
      </c>
    </row>
    <row r="196">
      <c r="A196" s="79" t="n"/>
      <c r="B196" s="80" t="n"/>
      <c r="C196" s="80" t="n"/>
      <c r="D196" s="80" t="n"/>
      <c r="E196" s="81" t="n"/>
      <c r="F196" s="80" t="n"/>
      <c r="G196" s="82">
        <f>IF($A196="","",MONTH($A196))</f>
        <v/>
      </c>
      <c r="H196" s="83">
        <f>IF($A196="","",SUMPRODUCT(($B$5:$B196="Receita")*$E$5:$E196)-SUMPRODUCT((($B$5:$B196="Despesa")+($B$5:$B196="Investimento"))*$E$5:$E196))</f>
        <v/>
      </c>
    </row>
    <row r="197">
      <c r="A197" s="79" t="n"/>
      <c r="B197" s="80" t="n"/>
      <c r="C197" s="80" t="n"/>
      <c r="D197" s="80" t="n"/>
      <c r="E197" s="81" t="n"/>
      <c r="F197" s="80" t="n"/>
      <c r="G197" s="82">
        <f>IF($A197="","",MONTH($A197))</f>
        <v/>
      </c>
      <c r="H197" s="83">
        <f>IF($A197="","",SUMPRODUCT(($B$5:$B197="Receita")*$E$5:$E197)-SUMPRODUCT((($B$5:$B197="Despesa")+($B$5:$B197="Investimento"))*$E$5:$E197))</f>
        <v/>
      </c>
    </row>
    <row r="198">
      <c r="A198" s="79" t="n"/>
      <c r="B198" s="80" t="n"/>
      <c r="C198" s="80" t="n"/>
      <c r="D198" s="80" t="n"/>
      <c r="E198" s="81" t="n"/>
      <c r="F198" s="80" t="n"/>
      <c r="G198" s="82">
        <f>IF($A198="","",MONTH($A198))</f>
        <v/>
      </c>
      <c r="H198" s="83">
        <f>IF($A198="","",SUMPRODUCT(($B$5:$B198="Receita")*$E$5:$E198)-SUMPRODUCT((($B$5:$B198="Despesa")+($B$5:$B198="Investimento"))*$E$5:$E198))</f>
        <v/>
      </c>
    </row>
    <row r="199">
      <c r="A199" s="79" t="n"/>
      <c r="B199" s="80" t="n"/>
      <c r="C199" s="80" t="n"/>
      <c r="D199" s="80" t="n"/>
      <c r="E199" s="81" t="n"/>
      <c r="F199" s="80" t="n"/>
      <c r="G199" s="82">
        <f>IF($A199="","",MONTH($A199))</f>
        <v/>
      </c>
      <c r="H199" s="83">
        <f>IF($A199="","",SUMPRODUCT(($B$5:$B199="Receita")*$E$5:$E199)-SUMPRODUCT((($B$5:$B199="Despesa")+($B$5:$B199="Investimento"))*$E$5:$E199))</f>
        <v/>
      </c>
    </row>
    <row r="200">
      <c r="A200" s="79" t="n"/>
      <c r="B200" s="80" t="n"/>
      <c r="C200" s="80" t="n"/>
      <c r="D200" s="80" t="n"/>
      <c r="E200" s="81" t="n"/>
      <c r="F200" s="80" t="n"/>
      <c r="G200" s="82">
        <f>IF($A200="","",MONTH($A200))</f>
        <v/>
      </c>
      <c r="H200" s="83">
        <f>IF($A200="","",SUMPRODUCT(($B$5:$B200="Receita")*$E$5:$E200)-SUMPRODUCT((($B$5:$B200="Despesa")+($B$5:$B200="Investimento"))*$E$5:$E200))</f>
        <v/>
      </c>
    </row>
    <row r="201">
      <c r="A201" s="79" t="n"/>
      <c r="B201" s="80" t="n"/>
      <c r="C201" s="80" t="n"/>
      <c r="D201" s="80" t="n"/>
      <c r="E201" s="81" t="n"/>
      <c r="F201" s="80" t="n"/>
      <c r="G201" s="82">
        <f>IF($A201="","",MONTH($A201))</f>
        <v/>
      </c>
      <c r="H201" s="83">
        <f>IF($A201="","",SUMPRODUCT(($B$5:$B201="Receita")*$E$5:$E201)-SUMPRODUCT((($B$5:$B201="Despesa")+($B$5:$B201="Investimento"))*$E$5:$E201))</f>
        <v/>
      </c>
    </row>
    <row r="202">
      <c r="A202" s="79" t="n"/>
      <c r="B202" s="80" t="n"/>
      <c r="C202" s="80" t="n"/>
      <c r="D202" s="80" t="n"/>
      <c r="E202" s="81" t="n"/>
      <c r="F202" s="80" t="n"/>
      <c r="G202" s="82">
        <f>IF($A202="","",MONTH($A202))</f>
        <v/>
      </c>
      <c r="H202" s="83">
        <f>IF($A202="","",SUMPRODUCT(($B$5:$B202="Receita")*$E$5:$E202)-SUMPRODUCT((($B$5:$B202="Despesa")+($B$5:$B202="Investimento"))*$E$5:$E202))</f>
        <v/>
      </c>
    </row>
    <row r="203">
      <c r="A203" s="79" t="n"/>
      <c r="B203" s="80" t="n"/>
      <c r="C203" s="80" t="n"/>
      <c r="D203" s="80" t="n"/>
      <c r="E203" s="81" t="n"/>
      <c r="F203" s="80" t="n"/>
      <c r="G203" s="82">
        <f>IF($A203="","",MONTH($A203))</f>
        <v/>
      </c>
      <c r="H203" s="83">
        <f>IF($A203="","",SUMPRODUCT(($B$5:$B203="Receita")*$E$5:$E203)-SUMPRODUCT((($B$5:$B203="Despesa")+($B$5:$B203="Investimento"))*$E$5:$E203))</f>
        <v/>
      </c>
    </row>
    <row r="204">
      <c r="A204" s="79" t="n"/>
      <c r="B204" s="80" t="n"/>
      <c r="C204" s="80" t="n"/>
      <c r="D204" s="80" t="n"/>
      <c r="E204" s="81" t="n"/>
      <c r="F204" s="80" t="n"/>
      <c r="G204" s="82">
        <f>IF($A204="","",MONTH($A204))</f>
        <v/>
      </c>
      <c r="H204" s="83">
        <f>IF($A204="","",SUMPRODUCT(($B$5:$B204="Receita")*$E$5:$E204)-SUMPRODUCT((($B$5:$B204="Despesa")+($B$5:$B204="Investimento"))*$E$5:$E204))</f>
        <v/>
      </c>
    </row>
    <row r="205">
      <c r="A205" s="79" t="n"/>
      <c r="B205" s="80" t="n"/>
      <c r="C205" s="80" t="n"/>
      <c r="D205" s="80" t="n"/>
      <c r="E205" s="81" t="n"/>
      <c r="F205" s="80" t="n"/>
      <c r="G205" s="82">
        <f>IF($A205="","",MONTH($A205))</f>
        <v/>
      </c>
      <c r="H205" s="83">
        <f>IF($A205="","",SUMPRODUCT(($B$5:$B205="Receita")*$E$5:$E205)-SUMPRODUCT((($B$5:$B205="Despesa")+($B$5:$B205="Investimento"))*$E$5:$E205))</f>
        <v/>
      </c>
    </row>
    <row r="206">
      <c r="A206" s="79" t="n"/>
      <c r="B206" s="80" t="n"/>
      <c r="C206" s="80" t="n"/>
      <c r="D206" s="80" t="n"/>
      <c r="E206" s="81" t="n"/>
      <c r="F206" s="80" t="n"/>
      <c r="G206" s="82">
        <f>IF($A206="","",MONTH($A206))</f>
        <v/>
      </c>
      <c r="H206" s="83">
        <f>IF($A206="","",SUMPRODUCT(($B$5:$B206="Receita")*$E$5:$E206)-SUMPRODUCT((($B$5:$B206="Despesa")+($B$5:$B206="Investimento"))*$E$5:$E206))</f>
        <v/>
      </c>
    </row>
    <row r="207">
      <c r="A207" s="79" t="n"/>
      <c r="B207" s="80" t="n"/>
      <c r="C207" s="80" t="n"/>
      <c r="D207" s="80" t="n"/>
      <c r="E207" s="81" t="n"/>
      <c r="F207" s="80" t="n"/>
      <c r="G207" s="82">
        <f>IF($A207="","",MONTH($A207))</f>
        <v/>
      </c>
      <c r="H207" s="83">
        <f>IF($A207="","",SUMPRODUCT(($B$5:$B207="Receita")*$E$5:$E207)-SUMPRODUCT((($B$5:$B207="Despesa")+($B$5:$B207="Investimento"))*$E$5:$E207))</f>
        <v/>
      </c>
    </row>
    <row r="208">
      <c r="A208" s="79" t="n"/>
      <c r="B208" s="80" t="n"/>
      <c r="C208" s="80" t="n"/>
      <c r="D208" s="80" t="n"/>
      <c r="E208" s="81" t="n"/>
      <c r="F208" s="80" t="n"/>
      <c r="G208" s="82">
        <f>IF($A208="","",MONTH($A208))</f>
        <v/>
      </c>
      <c r="H208" s="83">
        <f>IF($A208="","",SUMPRODUCT(($B$5:$B208="Receita")*$E$5:$E208)-SUMPRODUCT((($B$5:$B208="Despesa")+($B$5:$B208="Investimento"))*$E$5:$E208))</f>
        <v/>
      </c>
    </row>
    <row r="209">
      <c r="A209" s="79" t="n"/>
      <c r="B209" s="80" t="n"/>
      <c r="C209" s="80" t="n"/>
      <c r="D209" s="80" t="n"/>
      <c r="E209" s="81" t="n"/>
      <c r="F209" s="80" t="n"/>
      <c r="G209" s="82">
        <f>IF($A209="","",MONTH($A209))</f>
        <v/>
      </c>
      <c r="H209" s="83">
        <f>IF($A209="","",SUMPRODUCT(($B$5:$B209="Receita")*$E$5:$E209)-SUMPRODUCT((($B$5:$B209="Despesa")+($B$5:$B209="Investimento"))*$E$5:$E209))</f>
        <v/>
      </c>
    </row>
    <row r="210">
      <c r="A210" s="79" t="n"/>
      <c r="B210" s="80" t="n"/>
      <c r="C210" s="80" t="n"/>
      <c r="D210" s="80" t="n"/>
      <c r="E210" s="81" t="n"/>
      <c r="F210" s="80" t="n"/>
      <c r="G210" s="82">
        <f>IF($A210="","",MONTH($A210))</f>
        <v/>
      </c>
      <c r="H210" s="83">
        <f>IF($A210="","",SUMPRODUCT(($B$5:$B210="Receita")*$E$5:$E210)-SUMPRODUCT((($B$5:$B210="Despesa")+($B$5:$B210="Investimento"))*$E$5:$E210))</f>
        <v/>
      </c>
    </row>
    <row r="211">
      <c r="A211" s="79" t="n"/>
      <c r="B211" s="80" t="n"/>
      <c r="C211" s="80" t="n"/>
      <c r="D211" s="80" t="n"/>
      <c r="E211" s="81" t="n"/>
      <c r="F211" s="80" t="n"/>
      <c r="G211" s="82">
        <f>IF($A211="","",MONTH($A211))</f>
        <v/>
      </c>
      <c r="H211" s="83">
        <f>IF($A211="","",SUMPRODUCT(($B$5:$B211="Receita")*$E$5:$E211)-SUMPRODUCT((($B$5:$B211="Despesa")+($B$5:$B211="Investimento"))*$E$5:$E211))</f>
        <v/>
      </c>
    </row>
    <row r="212">
      <c r="A212" s="79" t="n"/>
      <c r="B212" s="80" t="n"/>
      <c r="C212" s="80" t="n"/>
      <c r="D212" s="80" t="n"/>
      <c r="E212" s="81" t="n"/>
      <c r="F212" s="80" t="n"/>
      <c r="G212" s="82">
        <f>IF($A212="","",MONTH($A212))</f>
        <v/>
      </c>
      <c r="H212" s="83">
        <f>IF($A212="","",SUMPRODUCT(($B$5:$B212="Receita")*$E$5:$E212)-SUMPRODUCT((($B$5:$B212="Despesa")+($B$5:$B212="Investimento"))*$E$5:$E212))</f>
        <v/>
      </c>
    </row>
    <row r="213">
      <c r="A213" s="79" t="n"/>
      <c r="B213" s="80" t="n"/>
      <c r="C213" s="80" t="n"/>
      <c r="D213" s="80" t="n"/>
      <c r="E213" s="81" t="n"/>
      <c r="F213" s="80" t="n"/>
      <c r="G213" s="82">
        <f>IF($A213="","",MONTH($A213))</f>
        <v/>
      </c>
      <c r="H213" s="83">
        <f>IF($A213="","",SUMPRODUCT(($B$5:$B213="Receita")*$E$5:$E213)-SUMPRODUCT((($B$5:$B213="Despesa")+($B$5:$B213="Investimento"))*$E$5:$E213))</f>
        <v/>
      </c>
    </row>
    <row r="214">
      <c r="A214" s="79" t="n"/>
      <c r="B214" s="80" t="n"/>
      <c r="C214" s="80" t="n"/>
      <c r="D214" s="80" t="n"/>
      <c r="E214" s="81" t="n"/>
      <c r="F214" s="80" t="n"/>
      <c r="G214" s="82">
        <f>IF($A214="","",MONTH($A214))</f>
        <v/>
      </c>
      <c r="H214" s="83">
        <f>IF($A214="","",SUMPRODUCT(($B$5:$B214="Receita")*$E$5:$E214)-SUMPRODUCT((($B$5:$B214="Despesa")+($B$5:$B214="Investimento"))*$E$5:$E214))</f>
        <v/>
      </c>
    </row>
    <row r="215">
      <c r="A215" s="79" t="n"/>
      <c r="B215" s="80" t="n"/>
      <c r="C215" s="80" t="n"/>
      <c r="D215" s="80" t="n"/>
      <c r="E215" s="81" t="n"/>
      <c r="F215" s="80" t="n"/>
      <c r="G215" s="82">
        <f>IF($A215="","",MONTH($A215))</f>
        <v/>
      </c>
      <c r="H215" s="83">
        <f>IF($A215="","",SUMPRODUCT(($B$5:$B215="Receita")*$E$5:$E215)-SUMPRODUCT((($B$5:$B215="Despesa")+($B$5:$B215="Investimento"))*$E$5:$E215))</f>
        <v/>
      </c>
    </row>
    <row r="216">
      <c r="A216" s="79" t="n"/>
      <c r="B216" s="80" t="n"/>
      <c r="C216" s="80" t="n"/>
      <c r="D216" s="80" t="n"/>
      <c r="E216" s="81" t="n"/>
      <c r="F216" s="80" t="n"/>
      <c r="G216" s="82">
        <f>IF($A216="","",MONTH($A216))</f>
        <v/>
      </c>
      <c r="H216" s="83">
        <f>IF($A216="","",SUMPRODUCT(($B$5:$B216="Receita")*$E$5:$E216)-SUMPRODUCT((($B$5:$B216="Despesa")+($B$5:$B216="Investimento"))*$E$5:$E216))</f>
        <v/>
      </c>
    </row>
    <row r="217">
      <c r="A217" s="79" t="n"/>
      <c r="B217" s="80" t="n"/>
      <c r="C217" s="80" t="n"/>
      <c r="D217" s="80" t="n"/>
      <c r="E217" s="81" t="n"/>
      <c r="F217" s="80" t="n"/>
      <c r="G217" s="82">
        <f>IF($A217="","",MONTH($A217))</f>
        <v/>
      </c>
      <c r="H217" s="83">
        <f>IF($A217="","",SUMPRODUCT(($B$5:$B217="Receita")*$E$5:$E217)-SUMPRODUCT((($B$5:$B217="Despesa")+($B$5:$B217="Investimento"))*$E$5:$E217))</f>
        <v/>
      </c>
    </row>
    <row r="218">
      <c r="A218" s="79" t="n"/>
      <c r="B218" s="80" t="n"/>
      <c r="C218" s="80" t="n"/>
      <c r="D218" s="80" t="n"/>
      <c r="E218" s="81" t="n"/>
      <c r="F218" s="80" t="n"/>
      <c r="G218" s="82">
        <f>IF($A218="","",MONTH($A218))</f>
        <v/>
      </c>
      <c r="H218" s="83">
        <f>IF($A218="","",SUMPRODUCT(($B$5:$B218="Receita")*$E$5:$E218)-SUMPRODUCT((($B$5:$B218="Despesa")+($B$5:$B218="Investimento"))*$E$5:$E218))</f>
        <v/>
      </c>
    </row>
    <row r="219">
      <c r="A219" s="79" t="n"/>
      <c r="B219" s="80" t="n"/>
      <c r="C219" s="80" t="n"/>
      <c r="D219" s="80" t="n"/>
      <c r="E219" s="81" t="n"/>
      <c r="F219" s="80" t="n"/>
      <c r="G219" s="82">
        <f>IF($A219="","",MONTH($A219))</f>
        <v/>
      </c>
      <c r="H219" s="83">
        <f>IF($A219="","",SUMPRODUCT(($B$5:$B219="Receita")*$E$5:$E219)-SUMPRODUCT((($B$5:$B219="Despesa")+($B$5:$B219="Investimento"))*$E$5:$E219))</f>
        <v/>
      </c>
    </row>
    <row r="220">
      <c r="A220" s="79" t="n"/>
      <c r="B220" s="80" t="n"/>
      <c r="C220" s="80" t="n"/>
      <c r="D220" s="80" t="n"/>
      <c r="E220" s="81" t="n"/>
      <c r="F220" s="80" t="n"/>
      <c r="G220" s="82">
        <f>IF($A220="","",MONTH($A220))</f>
        <v/>
      </c>
      <c r="H220" s="83">
        <f>IF($A220="","",SUMPRODUCT(($B$5:$B220="Receita")*$E$5:$E220)-SUMPRODUCT((($B$5:$B220="Despesa")+($B$5:$B220="Investimento"))*$E$5:$E220))</f>
        <v/>
      </c>
    </row>
    <row r="221">
      <c r="A221" s="79" t="n"/>
      <c r="B221" s="80" t="n"/>
      <c r="C221" s="80" t="n"/>
      <c r="D221" s="80" t="n"/>
      <c r="E221" s="81" t="n"/>
      <c r="F221" s="80" t="n"/>
      <c r="G221" s="82">
        <f>IF($A221="","",MONTH($A221))</f>
        <v/>
      </c>
      <c r="H221" s="83">
        <f>IF($A221="","",SUMPRODUCT(($B$5:$B221="Receita")*$E$5:$E221)-SUMPRODUCT((($B$5:$B221="Despesa")+($B$5:$B221="Investimento"))*$E$5:$E221))</f>
        <v/>
      </c>
    </row>
    <row r="222">
      <c r="A222" s="79" t="n"/>
      <c r="B222" s="80" t="n"/>
      <c r="C222" s="80" t="n"/>
      <c r="D222" s="80" t="n"/>
      <c r="E222" s="81" t="n"/>
      <c r="F222" s="80" t="n"/>
      <c r="G222" s="82">
        <f>IF($A222="","",MONTH($A222))</f>
        <v/>
      </c>
      <c r="H222" s="83">
        <f>IF($A222="","",SUMPRODUCT(($B$5:$B222="Receita")*$E$5:$E222)-SUMPRODUCT((($B$5:$B222="Despesa")+($B$5:$B222="Investimento"))*$E$5:$E222))</f>
        <v/>
      </c>
    </row>
    <row r="223">
      <c r="A223" s="79" t="n"/>
      <c r="B223" s="80" t="n"/>
      <c r="C223" s="80" t="n"/>
      <c r="D223" s="80" t="n"/>
      <c r="E223" s="81" t="n"/>
      <c r="F223" s="80" t="n"/>
      <c r="G223" s="82">
        <f>IF($A223="","",MONTH($A223))</f>
        <v/>
      </c>
      <c r="H223" s="83">
        <f>IF($A223="","",SUMPRODUCT(($B$5:$B223="Receita")*$E$5:$E223)-SUMPRODUCT((($B$5:$B223="Despesa")+($B$5:$B223="Investimento"))*$E$5:$E223))</f>
        <v/>
      </c>
    </row>
    <row r="224">
      <c r="A224" s="79" t="n"/>
      <c r="B224" s="80" t="n"/>
      <c r="C224" s="80" t="n"/>
      <c r="D224" s="80" t="n"/>
      <c r="E224" s="81" t="n"/>
      <c r="F224" s="80" t="n"/>
      <c r="G224" s="82">
        <f>IF($A224="","",MONTH($A224))</f>
        <v/>
      </c>
      <c r="H224" s="83">
        <f>IF($A224="","",SUMPRODUCT(($B$5:$B224="Receita")*$E$5:$E224)-SUMPRODUCT((($B$5:$B224="Despesa")+($B$5:$B224="Investimento"))*$E$5:$E224))</f>
        <v/>
      </c>
    </row>
    <row r="225">
      <c r="A225" s="79" t="n"/>
      <c r="B225" s="80" t="n"/>
      <c r="C225" s="80" t="n"/>
      <c r="D225" s="80" t="n"/>
      <c r="E225" s="81" t="n"/>
      <c r="F225" s="80" t="n"/>
      <c r="G225" s="82">
        <f>IF($A225="","",MONTH($A225))</f>
        <v/>
      </c>
      <c r="H225" s="83">
        <f>IF($A225="","",SUMPRODUCT(($B$5:$B225="Receita")*$E$5:$E225)-SUMPRODUCT((($B$5:$B225="Despesa")+($B$5:$B225="Investimento"))*$E$5:$E225))</f>
        <v/>
      </c>
    </row>
    <row r="226">
      <c r="A226" s="79" t="n"/>
      <c r="B226" s="80" t="n"/>
      <c r="C226" s="80" t="n"/>
      <c r="D226" s="80" t="n"/>
      <c r="E226" s="81" t="n"/>
      <c r="F226" s="80" t="n"/>
      <c r="G226" s="82">
        <f>IF($A226="","",MONTH($A226))</f>
        <v/>
      </c>
      <c r="H226" s="83">
        <f>IF($A226="","",SUMPRODUCT(($B$5:$B226="Receita")*$E$5:$E226)-SUMPRODUCT((($B$5:$B226="Despesa")+($B$5:$B226="Investimento"))*$E$5:$E226))</f>
        <v/>
      </c>
    </row>
    <row r="227">
      <c r="A227" s="79" t="n"/>
      <c r="B227" s="80" t="n"/>
      <c r="C227" s="80" t="n"/>
      <c r="D227" s="80" t="n"/>
      <c r="E227" s="81" t="n"/>
      <c r="F227" s="80" t="n"/>
      <c r="G227" s="82">
        <f>IF($A227="","",MONTH($A227))</f>
        <v/>
      </c>
      <c r="H227" s="83">
        <f>IF($A227="","",SUMPRODUCT(($B$5:$B227="Receita")*$E$5:$E227)-SUMPRODUCT((($B$5:$B227="Despesa")+($B$5:$B227="Investimento"))*$E$5:$E227))</f>
        <v/>
      </c>
    </row>
    <row r="228">
      <c r="A228" s="79" t="n"/>
      <c r="B228" s="80" t="n"/>
      <c r="C228" s="80" t="n"/>
      <c r="D228" s="80" t="n"/>
      <c r="E228" s="81" t="n"/>
      <c r="F228" s="80" t="n"/>
      <c r="G228" s="82">
        <f>IF($A228="","",MONTH($A228))</f>
        <v/>
      </c>
      <c r="H228" s="83">
        <f>IF($A228="","",SUMPRODUCT(($B$5:$B228="Receita")*$E$5:$E228)-SUMPRODUCT((($B$5:$B228="Despesa")+($B$5:$B228="Investimento"))*$E$5:$E228))</f>
        <v/>
      </c>
    </row>
    <row r="229">
      <c r="A229" s="79" t="n"/>
      <c r="B229" s="80" t="n"/>
      <c r="C229" s="80" t="n"/>
      <c r="D229" s="80" t="n"/>
      <c r="E229" s="81" t="n"/>
      <c r="F229" s="80" t="n"/>
      <c r="G229" s="82">
        <f>IF($A229="","",MONTH($A229))</f>
        <v/>
      </c>
      <c r="H229" s="83">
        <f>IF($A229="","",SUMPRODUCT(($B$5:$B229="Receita")*$E$5:$E229)-SUMPRODUCT((($B$5:$B229="Despesa")+($B$5:$B229="Investimento"))*$E$5:$E229))</f>
        <v/>
      </c>
    </row>
    <row r="230">
      <c r="A230" s="79" t="n"/>
      <c r="B230" s="80" t="n"/>
      <c r="C230" s="80" t="n"/>
      <c r="D230" s="80" t="n"/>
      <c r="E230" s="81" t="n"/>
      <c r="F230" s="80" t="n"/>
      <c r="G230" s="82">
        <f>IF($A230="","",MONTH($A230))</f>
        <v/>
      </c>
      <c r="H230" s="83">
        <f>IF($A230="","",SUMPRODUCT(($B$5:$B230="Receita")*$E$5:$E230)-SUMPRODUCT((($B$5:$B230="Despesa")+($B$5:$B230="Investimento"))*$E$5:$E230))</f>
        <v/>
      </c>
    </row>
    <row r="231">
      <c r="A231" s="79" t="n"/>
      <c r="B231" s="80" t="n"/>
      <c r="C231" s="80" t="n"/>
      <c r="D231" s="80" t="n"/>
      <c r="E231" s="81" t="n"/>
      <c r="F231" s="80" t="n"/>
      <c r="G231" s="82">
        <f>IF($A231="","",MONTH($A231))</f>
        <v/>
      </c>
      <c r="H231" s="83">
        <f>IF($A231="","",SUMPRODUCT(($B$5:$B231="Receita")*$E$5:$E231)-SUMPRODUCT((($B$5:$B231="Despesa")+($B$5:$B231="Investimento"))*$E$5:$E231))</f>
        <v/>
      </c>
    </row>
    <row r="232">
      <c r="A232" s="79" t="n"/>
      <c r="B232" s="80" t="n"/>
      <c r="C232" s="80" t="n"/>
      <c r="D232" s="80" t="n"/>
      <c r="E232" s="81" t="n"/>
      <c r="F232" s="80" t="n"/>
      <c r="G232" s="82">
        <f>IF($A232="","",MONTH($A232))</f>
        <v/>
      </c>
      <c r="H232" s="83">
        <f>IF($A232="","",SUMPRODUCT(($B$5:$B232="Receita")*$E$5:$E232)-SUMPRODUCT((($B$5:$B232="Despesa")+($B$5:$B232="Investimento"))*$E$5:$E232))</f>
        <v/>
      </c>
    </row>
    <row r="233">
      <c r="A233" s="79" t="n"/>
      <c r="B233" s="80" t="n"/>
      <c r="C233" s="80" t="n"/>
      <c r="D233" s="80" t="n"/>
      <c r="E233" s="81" t="n"/>
      <c r="F233" s="80" t="n"/>
      <c r="G233" s="82">
        <f>IF($A233="","",MONTH($A233))</f>
        <v/>
      </c>
      <c r="H233" s="83">
        <f>IF($A233="","",SUMPRODUCT(($B$5:$B233="Receita")*$E$5:$E233)-SUMPRODUCT((($B$5:$B233="Despesa")+($B$5:$B233="Investimento"))*$E$5:$E233))</f>
        <v/>
      </c>
    </row>
    <row r="234">
      <c r="A234" s="79" t="n"/>
      <c r="B234" s="80" t="n"/>
      <c r="C234" s="80" t="n"/>
      <c r="D234" s="80" t="n"/>
      <c r="E234" s="81" t="n"/>
      <c r="F234" s="80" t="n"/>
      <c r="G234" s="82">
        <f>IF($A234="","",MONTH($A234))</f>
        <v/>
      </c>
      <c r="H234" s="83">
        <f>IF($A234="","",SUMPRODUCT(($B$5:$B234="Receita")*$E$5:$E234)-SUMPRODUCT((($B$5:$B234="Despesa")+($B$5:$B234="Investimento"))*$E$5:$E234))</f>
        <v/>
      </c>
    </row>
    <row r="235">
      <c r="A235" s="79" t="n"/>
      <c r="B235" s="80" t="n"/>
      <c r="C235" s="80" t="n"/>
      <c r="D235" s="80" t="n"/>
      <c r="E235" s="81" t="n"/>
      <c r="F235" s="80" t="n"/>
      <c r="G235" s="82">
        <f>IF($A235="","",MONTH($A235))</f>
        <v/>
      </c>
      <c r="H235" s="83">
        <f>IF($A235="","",SUMPRODUCT(($B$5:$B235="Receita")*$E$5:$E235)-SUMPRODUCT((($B$5:$B235="Despesa")+($B$5:$B235="Investimento"))*$E$5:$E235))</f>
        <v/>
      </c>
    </row>
    <row r="236">
      <c r="A236" s="79" t="n"/>
      <c r="B236" s="80" t="n"/>
      <c r="C236" s="80" t="n"/>
      <c r="D236" s="80" t="n"/>
      <c r="E236" s="81" t="n"/>
      <c r="F236" s="80" t="n"/>
      <c r="G236" s="82">
        <f>IF($A236="","",MONTH($A236))</f>
        <v/>
      </c>
      <c r="H236" s="83">
        <f>IF($A236="","",SUMPRODUCT(($B$5:$B236="Receita")*$E$5:$E236)-SUMPRODUCT((($B$5:$B236="Despesa")+($B$5:$B236="Investimento"))*$E$5:$E236))</f>
        <v/>
      </c>
    </row>
    <row r="237">
      <c r="A237" s="79" t="n"/>
      <c r="B237" s="80" t="n"/>
      <c r="C237" s="80" t="n"/>
      <c r="D237" s="80" t="n"/>
      <c r="E237" s="81" t="n"/>
      <c r="F237" s="80" t="n"/>
      <c r="G237" s="82">
        <f>IF($A237="","",MONTH($A237))</f>
        <v/>
      </c>
      <c r="H237" s="83">
        <f>IF($A237="","",SUMPRODUCT(($B$5:$B237="Receita")*$E$5:$E237)-SUMPRODUCT((($B$5:$B237="Despesa")+($B$5:$B237="Investimento"))*$E$5:$E237))</f>
        <v/>
      </c>
    </row>
    <row r="238">
      <c r="A238" s="79" t="n"/>
      <c r="B238" s="80" t="n"/>
      <c r="C238" s="80" t="n"/>
      <c r="D238" s="80" t="n"/>
      <c r="E238" s="81" t="n"/>
      <c r="F238" s="80" t="n"/>
      <c r="G238" s="82">
        <f>IF($A238="","",MONTH($A238))</f>
        <v/>
      </c>
      <c r="H238" s="83">
        <f>IF($A238="","",SUMPRODUCT(($B$5:$B238="Receita")*$E$5:$E238)-SUMPRODUCT((($B$5:$B238="Despesa")+($B$5:$B238="Investimento"))*$E$5:$E238))</f>
        <v/>
      </c>
    </row>
    <row r="239">
      <c r="A239" s="79" t="n"/>
      <c r="B239" s="80" t="n"/>
      <c r="C239" s="80" t="n"/>
      <c r="D239" s="80" t="n"/>
      <c r="E239" s="81" t="n"/>
      <c r="F239" s="80" t="n"/>
      <c r="G239" s="82">
        <f>IF($A239="","",MONTH($A239))</f>
        <v/>
      </c>
      <c r="H239" s="83">
        <f>IF($A239="","",SUMPRODUCT(($B$5:$B239="Receita")*$E$5:$E239)-SUMPRODUCT((($B$5:$B239="Despesa")+($B$5:$B239="Investimento"))*$E$5:$E239))</f>
        <v/>
      </c>
    </row>
    <row r="240">
      <c r="A240" s="79" t="n"/>
      <c r="B240" s="80" t="n"/>
      <c r="C240" s="80" t="n"/>
      <c r="D240" s="80" t="n"/>
      <c r="E240" s="81" t="n"/>
      <c r="F240" s="80" t="n"/>
      <c r="G240" s="82">
        <f>IF($A240="","",MONTH($A240))</f>
        <v/>
      </c>
      <c r="H240" s="83">
        <f>IF($A240="","",SUMPRODUCT(($B$5:$B240="Receita")*$E$5:$E240)-SUMPRODUCT((($B$5:$B240="Despesa")+($B$5:$B240="Investimento"))*$E$5:$E240))</f>
        <v/>
      </c>
    </row>
    <row r="241">
      <c r="A241" s="79" t="n"/>
      <c r="B241" s="80" t="n"/>
      <c r="C241" s="80" t="n"/>
      <c r="D241" s="80" t="n"/>
      <c r="E241" s="81" t="n"/>
      <c r="F241" s="80" t="n"/>
      <c r="G241" s="82">
        <f>IF($A241="","",MONTH($A241))</f>
        <v/>
      </c>
      <c r="H241" s="83">
        <f>IF($A241="","",SUMPRODUCT(($B$5:$B241="Receita")*$E$5:$E241)-SUMPRODUCT((($B$5:$B241="Despesa")+($B$5:$B241="Investimento"))*$E$5:$E241))</f>
        <v/>
      </c>
    </row>
    <row r="242">
      <c r="A242" s="79" t="n"/>
      <c r="B242" s="80" t="n"/>
      <c r="C242" s="80" t="n"/>
      <c r="D242" s="80" t="n"/>
      <c r="E242" s="81" t="n"/>
      <c r="F242" s="80" t="n"/>
      <c r="G242" s="82">
        <f>IF($A242="","",MONTH($A242))</f>
        <v/>
      </c>
      <c r="H242" s="83">
        <f>IF($A242="","",SUMPRODUCT(($B$5:$B242="Receita")*$E$5:$E242)-SUMPRODUCT((($B$5:$B242="Despesa")+($B$5:$B242="Investimento"))*$E$5:$E242))</f>
        <v/>
      </c>
    </row>
    <row r="243">
      <c r="A243" s="79" t="n"/>
      <c r="B243" s="80" t="n"/>
      <c r="C243" s="80" t="n"/>
      <c r="D243" s="80" t="n"/>
      <c r="E243" s="81" t="n"/>
      <c r="F243" s="80" t="n"/>
      <c r="G243" s="82">
        <f>IF($A243="","",MONTH($A243))</f>
        <v/>
      </c>
      <c r="H243" s="83">
        <f>IF($A243="","",SUMPRODUCT(($B$5:$B243="Receita")*$E$5:$E243)-SUMPRODUCT((($B$5:$B243="Despesa")+($B$5:$B243="Investimento"))*$E$5:$E243))</f>
        <v/>
      </c>
    </row>
    <row r="244">
      <c r="A244" s="79" t="n"/>
      <c r="B244" s="80" t="n"/>
      <c r="C244" s="80" t="n"/>
      <c r="D244" s="80" t="n"/>
      <c r="E244" s="81" t="n"/>
      <c r="F244" s="80" t="n"/>
      <c r="G244" s="82">
        <f>IF($A244="","",MONTH($A244))</f>
        <v/>
      </c>
      <c r="H244" s="83">
        <f>IF($A244="","",SUMPRODUCT(($B$5:$B244="Receita")*$E$5:$E244)-SUMPRODUCT((($B$5:$B244="Despesa")+($B$5:$B244="Investimento"))*$E$5:$E244))</f>
        <v/>
      </c>
    </row>
    <row r="245">
      <c r="A245" s="79" t="n"/>
      <c r="B245" s="80" t="n"/>
      <c r="C245" s="80" t="n"/>
      <c r="D245" s="80" t="n"/>
      <c r="E245" s="81" t="n"/>
      <c r="F245" s="80" t="n"/>
      <c r="G245" s="82">
        <f>IF($A245="","",MONTH($A245))</f>
        <v/>
      </c>
      <c r="H245" s="83">
        <f>IF($A245="","",SUMPRODUCT(($B$5:$B245="Receita")*$E$5:$E245)-SUMPRODUCT((($B$5:$B245="Despesa")+($B$5:$B245="Investimento"))*$E$5:$E245))</f>
        <v/>
      </c>
    </row>
    <row r="246">
      <c r="A246" s="79" t="n"/>
      <c r="B246" s="80" t="n"/>
      <c r="C246" s="80" t="n"/>
      <c r="D246" s="80" t="n"/>
      <c r="E246" s="81" t="n"/>
      <c r="F246" s="80" t="n"/>
      <c r="G246" s="82">
        <f>IF($A246="","",MONTH($A246))</f>
        <v/>
      </c>
      <c r="H246" s="83">
        <f>IF($A246="","",SUMPRODUCT(($B$5:$B246="Receita")*$E$5:$E246)-SUMPRODUCT((($B$5:$B246="Despesa")+($B$5:$B246="Investimento"))*$E$5:$E246))</f>
        <v/>
      </c>
    </row>
    <row r="247">
      <c r="A247" s="79" t="n"/>
      <c r="B247" s="80" t="n"/>
      <c r="C247" s="80" t="n"/>
      <c r="D247" s="80" t="n"/>
      <c r="E247" s="81" t="n"/>
      <c r="F247" s="80" t="n"/>
      <c r="G247" s="82">
        <f>IF($A247="","",MONTH($A247))</f>
        <v/>
      </c>
      <c r="H247" s="83">
        <f>IF($A247="","",SUMPRODUCT(($B$5:$B247="Receita")*$E$5:$E247)-SUMPRODUCT((($B$5:$B247="Despesa")+($B$5:$B247="Investimento"))*$E$5:$E247))</f>
        <v/>
      </c>
    </row>
    <row r="248">
      <c r="A248" s="79" t="n"/>
      <c r="B248" s="80" t="n"/>
      <c r="C248" s="80" t="n"/>
      <c r="D248" s="80" t="n"/>
      <c r="E248" s="81" t="n"/>
      <c r="F248" s="80" t="n"/>
      <c r="G248" s="82">
        <f>IF($A248="","",MONTH($A248))</f>
        <v/>
      </c>
      <c r="H248" s="83">
        <f>IF($A248="","",SUMPRODUCT(($B$5:$B248="Receita")*$E$5:$E248)-SUMPRODUCT((($B$5:$B248="Despesa")+($B$5:$B248="Investimento"))*$E$5:$E248))</f>
        <v/>
      </c>
    </row>
    <row r="249">
      <c r="A249" s="79" t="n"/>
      <c r="B249" s="80" t="n"/>
      <c r="C249" s="80" t="n"/>
      <c r="D249" s="80" t="n"/>
      <c r="E249" s="81" t="n"/>
      <c r="F249" s="80" t="n"/>
      <c r="G249" s="82">
        <f>IF($A249="","",MONTH($A249))</f>
        <v/>
      </c>
      <c r="H249" s="83">
        <f>IF($A249="","",SUMPRODUCT(($B$5:$B249="Receita")*$E$5:$E249)-SUMPRODUCT((($B$5:$B249="Despesa")+($B$5:$B249="Investimento"))*$E$5:$E249))</f>
        <v/>
      </c>
    </row>
    <row r="250">
      <c r="A250" s="79" t="n"/>
      <c r="B250" s="80" t="n"/>
      <c r="C250" s="80" t="n"/>
      <c r="D250" s="80" t="n"/>
      <c r="E250" s="81" t="n"/>
      <c r="F250" s="80" t="n"/>
      <c r="G250" s="82">
        <f>IF($A250="","",MONTH($A250))</f>
        <v/>
      </c>
      <c r="H250" s="83">
        <f>IF($A250="","",SUMPRODUCT(($B$5:$B250="Receita")*$E$5:$E250)-SUMPRODUCT((($B$5:$B250="Despesa")+($B$5:$B250="Investimento"))*$E$5:$E250))</f>
        <v/>
      </c>
    </row>
    <row r="251">
      <c r="A251" s="79" t="n"/>
      <c r="B251" s="80" t="n"/>
      <c r="C251" s="80" t="n"/>
      <c r="D251" s="80" t="n"/>
      <c r="E251" s="81" t="n"/>
      <c r="F251" s="80" t="n"/>
      <c r="G251" s="82">
        <f>IF($A251="","",MONTH($A251))</f>
        <v/>
      </c>
      <c r="H251" s="83">
        <f>IF($A251="","",SUMPRODUCT(($B$5:$B251="Receita")*$E$5:$E251)-SUMPRODUCT((($B$5:$B251="Despesa")+($B$5:$B251="Investimento"))*$E$5:$E251))</f>
        <v/>
      </c>
    </row>
    <row r="252">
      <c r="A252" s="79" t="n"/>
      <c r="B252" s="80" t="n"/>
      <c r="C252" s="80" t="n"/>
      <c r="D252" s="80" t="n"/>
      <c r="E252" s="81" t="n"/>
      <c r="F252" s="80" t="n"/>
      <c r="G252" s="82">
        <f>IF($A252="","",MONTH($A252))</f>
        <v/>
      </c>
      <c r="H252" s="83">
        <f>IF($A252="","",SUMPRODUCT(($B$5:$B252="Receita")*$E$5:$E252)-SUMPRODUCT((($B$5:$B252="Despesa")+($B$5:$B252="Investimento"))*$E$5:$E252))</f>
        <v/>
      </c>
    </row>
    <row r="253">
      <c r="A253" s="79" t="n"/>
      <c r="B253" s="80" t="n"/>
      <c r="C253" s="80" t="n"/>
      <c r="D253" s="80" t="n"/>
      <c r="E253" s="81" t="n"/>
      <c r="F253" s="80" t="n"/>
      <c r="G253" s="82">
        <f>IF($A253="","",MONTH($A253))</f>
        <v/>
      </c>
      <c r="H253" s="83">
        <f>IF($A253="","",SUMPRODUCT(($B$5:$B253="Receita")*$E$5:$E253)-SUMPRODUCT((($B$5:$B253="Despesa")+($B$5:$B253="Investimento"))*$E$5:$E253))</f>
        <v/>
      </c>
    </row>
    <row r="254">
      <c r="A254" s="79" t="n"/>
      <c r="B254" s="80" t="n"/>
      <c r="C254" s="80" t="n"/>
      <c r="D254" s="80" t="n"/>
      <c r="E254" s="81" t="n"/>
      <c r="F254" s="80" t="n"/>
      <c r="G254" s="82">
        <f>IF($A254="","",MONTH($A254))</f>
        <v/>
      </c>
      <c r="H254" s="83">
        <f>IF($A254="","",SUMPRODUCT(($B$5:$B254="Receita")*$E$5:$E254)-SUMPRODUCT((($B$5:$B254="Despesa")+($B$5:$B254="Investimento"))*$E$5:$E254))</f>
        <v/>
      </c>
    </row>
    <row r="255">
      <c r="A255" s="79" t="n"/>
      <c r="B255" s="80" t="n"/>
      <c r="C255" s="80" t="n"/>
      <c r="D255" s="80" t="n"/>
      <c r="E255" s="81" t="n"/>
      <c r="F255" s="80" t="n"/>
      <c r="G255" s="82">
        <f>IF($A255="","",MONTH($A255))</f>
        <v/>
      </c>
      <c r="H255" s="83">
        <f>IF($A255="","",SUMPRODUCT(($B$5:$B255="Receita")*$E$5:$E255)-SUMPRODUCT((($B$5:$B255="Despesa")+($B$5:$B255="Investimento"))*$E$5:$E255))</f>
        <v/>
      </c>
    </row>
    <row r="256">
      <c r="A256" s="79" t="n"/>
      <c r="B256" s="80" t="n"/>
      <c r="C256" s="80" t="n"/>
      <c r="D256" s="80" t="n"/>
      <c r="E256" s="81" t="n"/>
      <c r="F256" s="80" t="n"/>
      <c r="G256" s="82">
        <f>IF($A256="","",MONTH($A256))</f>
        <v/>
      </c>
      <c r="H256" s="83">
        <f>IF($A256="","",SUMPRODUCT(($B$5:$B256="Receita")*$E$5:$E256)-SUMPRODUCT((($B$5:$B256="Despesa")+($B$5:$B256="Investimento"))*$E$5:$E256))</f>
        <v/>
      </c>
    </row>
    <row r="257">
      <c r="A257" s="79" t="n"/>
      <c r="B257" s="80" t="n"/>
      <c r="C257" s="80" t="n"/>
      <c r="D257" s="80" t="n"/>
      <c r="E257" s="81" t="n"/>
      <c r="F257" s="80" t="n"/>
      <c r="G257" s="82">
        <f>IF($A257="","",MONTH($A257))</f>
        <v/>
      </c>
      <c r="H257" s="83">
        <f>IF($A257="","",SUMPRODUCT(($B$5:$B257="Receita")*$E$5:$E257)-SUMPRODUCT((($B$5:$B257="Despesa")+($B$5:$B257="Investimento"))*$E$5:$E257))</f>
        <v/>
      </c>
    </row>
    <row r="258">
      <c r="A258" s="79" t="n"/>
      <c r="B258" s="80" t="n"/>
      <c r="C258" s="80" t="n"/>
      <c r="D258" s="80" t="n"/>
      <c r="E258" s="81" t="n"/>
      <c r="F258" s="80" t="n"/>
      <c r="G258" s="82">
        <f>IF($A258="","",MONTH($A258))</f>
        <v/>
      </c>
      <c r="H258" s="83">
        <f>IF($A258="","",SUMPRODUCT(($B$5:$B258="Receita")*$E$5:$E258)-SUMPRODUCT((($B$5:$B258="Despesa")+($B$5:$B258="Investimento"))*$E$5:$E258))</f>
        <v/>
      </c>
    </row>
    <row r="259">
      <c r="A259" s="79" t="n"/>
      <c r="B259" s="80" t="n"/>
      <c r="C259" s="80" t="n"/>
      <c r="D259" s="80" t="n"/>
      <c r="E259" s="81" t="n"/>
      <c r="F259" s="80" t="n"/>
      <c r="G259" s="82">
        <f>IF($A259="","",MONTH($A259))</f>
        <v/>
      </c>
      <c r="H259" s="83">
        <f>IF($A259="","",SUMPRODUCT(($B$5:$B259="Receita")*$E$5:$E259)-SUMPRODUCT((($B$5:$B259="Despesa")+($B$5:$B259="Investimento"))*$E$5:$E259))</f>
        <v/>
      </c>
    </row>
    <row r="260">
      <c r="A260" s="79" t="n"/>
      <c r="B260" s="80" t="n"/>
      <c r="C260" s="80" t="n"/>
      <c r="D260" s="80" t="n"/>
      <c r="E260" s="81" t="n"/>
      <c r="F260" s="80" t="n"/>
      <c r="G260" s="82">
        <f>IF($A260="","",MONTH($A260))</f>
        <v/>
      </c>
      <c r="H260" s="83">
        <f>IF($A260="","",SUMPRODUCT(($B$5:$B260="Receita")*$E$5:$E260)-SUMPRODUCT((($B$5:$B260="Despesa")+($B$5:$B260="Investimento"))*$E$5:$E260))</f>
        <v/>
      </c>
    </row>
    <row r="261">
      <c r="A261" s="79" t="n"/>
      <c r="B261" s="80" t="n"/>
      <c r="C261" s="80" t="n"/>
      <c r="D261" s="80" t="n"/>
      <c r="E261" s="81" t="n"/>
      <c r="F261" s="80" t="n"/>
      <c r="G261" s="82">
        <f>IF($A261="","",MONTH($A261))</f>
        <v/>
      </c>
      <c r="H261" s="83">
        <f>IF($A261="","",SUMPRODUCT(($B$5:$B261="Receita")*$E$5:$E261)-SUMPRODUCT((($B$5:$B261="Despesa")+($B$5:$B261="Investimento"))*$E$5:$E261))</f>
        <v/>
      </c>
    </row>
    <row r="262">
      <c r="A262" s="79" t="n"/>
      <c r="B262" s="80" t="n"/>
      <c r="C262" s="80" t="n"/>
      <c r="D262" s="80" t="n"/>
      <c r="E262" s="81" t="n"/>
      <c r="F262" s="80" t="n"/>
      <c r="G262" s="82">
        <f>IF($A262="","",MONTH($A262))</f>
        <v/>
      </c>
      <c r="H262" s="83">
        <f>IF($A262="","",SUMPRODUCT(($B$5:$B262="Receita")*$E$5:$E262)-SUMPRODUCT((($B$5:$B262="Despesa")+($B$5:$B262="Investimento"))*$E$5:$E262))</f>
        <v/>
      </c>
    </row>
    <row r="263">
      <c r="A263" s="79" t="n"/>
      <c r="B263" s="80" t="n"/>
      <c r="C263" s="80" t="n"/>
      <c r="D263" s="80" t="n"/>
      <c r="E263" s="81" t="n"/>
      <c r="F263" s="80" t="n"/>
      <c r="G263" s="82">
        <f>IF($A263="","",MONTH($A263))</f>
        <v/>
      </c>
      <c r="H263" s="83">
        <f>IF($A263="","",SUMPRODUCT(($B$5:$B263="Receita")*$E$5:$E263)-SUMPRODUCT((($B$5:$B263="Despesa")+($B$5:$B263="Investimento"))*$E$5:$E263))</f>
        <v/>
      </c>
    </row>
    <row r="264">
      <c r="A264" s="79" t="n"/>
      <c r="B264" s="80" t="n"/>
      <c r="C264" s="80" t="n"/>
      <c r="D264" s="80" t="n"/>
      <c r="E264" s="81" t="n"/>
      <c r="F264" s="80" t="n"/>
      <c r="G264" s="82">
        <f>IF($A264="","",MONTH($A264))</f>
        <v/>
      </c>
      <c r="H264" s="83">
        <f>IF($A264="","",SUMPRODUCT(($B$5:$B264="Receita")*$E$5:$E264)-SUMPRODUCT((($B$5:$B264="Despesa")+($B$5:$B264="Investimento"))*$E$5:$E264))</f>
        <v/>
      </c>
    </row>
    <row r="265">
      <c r="A265" s="79" t="n"/>
      <c r="B265" s="80" t="n"/>
      <c r="C265" s="80" t="n"/>
      <c r="D265" s="80" t="n"/>
      <c r="E265" s="81" t="n"/>
      <c r="F265" s="80" t="n"/>
      <c r="G265" s="82">
        <f>IF($A265="","",MONTH($A265))</f>
        <v/>
      </c>
      <c r="H265" s="83">
        <f>IF($A265="","",SUMPRODUCT(($B$5:$B265="Receita")*$E$5:$E265)-SUMPRODUCT((($B$5:$B265="Despesa")+($B$5:$B265="Investimento"))*$E$5:$E265))</f>
        <v/>
      </c>
    </row>
    <row r="266">
      <c r="A266" s="79" t="n"/>
      <c r="B266" s="80" t="n"/>
      <c r="C266" s="80" t="n"/>
      <c r="D266" s="80" t="n"/>
      <c r="E266" s="81" t="n"/>
      <c r="F266" s="80" t="n"/>
      <c r="G266" s="82">
        <f>IF($A266="","",MONTH($A266))</f>
        <v/>
      </c>
      <c r="H266" s="83">
        <f>IF($A266="","",SUMPRODUCT(($B$5:$B266="Receita")*$E$5:$E266)-SUMPRODUCT((($B$5:$B266="Despesa")+($B$5:$B266="Investimento"))*$E$5:$E266))</f>
        <v/>
      </c>
    </row>
    <row r="267">
      <c r="A267" s="79" t="n"/>
      <c r="B267" s="80" t="n"/>
      <c r="C267" s="80" t="n"/>
      <c r="D267" s="80" t="n"/>
      <c r="E267" s="81" t="n"/>
      <c r="F267" s="80" t="n"/>
      <c r="G267" s="82">
        <f>IF($A267="","",MONTH($A267))</f>
        <v/>
      </c>
      <c r="H267" s="83">
        <f>IF($A267="","",SUMPRODUCT(($B$5:$B267="Receita")*$E$5:$E267)-SUMPRODUCT((($B$5:$B267="Despesa")+($B$5:$B267="Investimento"))*$E$5:$E267))</f>
        <v/>
      </c>
    </row>
    <row r="268">
      <c r="A268" s="79" t="n"/>
      <c r="B268" s="80" t="n"/>
      <c r="C268" s="80" t="n"/>
      <c r="D268" s="80" t="n"/>
      <c r="E268" s="81" t="n"/>
      <c r="F268" s="80" t="n"/>
      <c r="G268" s="82">
        <f>IF($A268="","",MONTH($A268))</f>
        <v/>
      </c>
      <c r="H268" s="83">
        <f>IF($A268="","",SUMPRODUCT(($B$5:$B268="Receita")*$E$5:$E268)-SUMPRODUCT((($B$5:$B268="Despesa")+($B$5:$B268="Investimento"))*$E$5:$E268))</f>
        <v/>
      </c>
    </row>
    <row r="269">
      <c r="A269" s="79" t="n"/>
      <c r="B269" s="80" t="n"/>
      <c r="C269" s="80" t="n"/>
      <c r="D269" s="80" t="n"/>
      <c r="E269" s="81" t="n"/>
      <c r="F269" s="80" t="n"/>
      <c r="G269" s="82">
        <f>IF($A269="","",MONTH($A269))</f>
        <v/>
      </c>
      <c r="H269" s="83">
        <f>IF($A269="","",SUMPRODUCT(($B$5:$B269="Receita")*$E$5:$E269)-SUMPRODUCT((($B$5:$B269="Despesa")+($B$5:$B269="Investimento"))*$E$5:$E269))</f>
        <v/>
      </c>
    </row>
    <row r="270">
      <c r="A270" s="79" t="n"/>
      <c r="B270" s="80" t="n"/>
      <c r="C270" s="80" t="n"/>
      <c r="D270" s="80" t="n"/>
      <c r="E270" s="81" t="n"/>
      <c r="F270" s="80" t="n"/>
      <c r="G270" s="82">
        <f>IF($A270="","",MONTH($A270))</f>
        <v/>
      </c>
      <c r="H270" s="83">
        <f>IF($A270="","",SUMPRODUCT(($B$5:$B270="Receita")*$E$5:$E270)-SUMPRODUCT((($B$5:$B270="Despesa")+($B$5:$B270="Investimento"))*$E$5:$E270))</f>
        <v/>
      </c>
    </row>
    <row r="271">
      <c r="A271" s="79" t="n"/>
      <c r="B271" s="80" t="n"/>
      <c r="C271" s="80" t="n"/>
      <c r="D271" s="80" t="n"/>
      <c r="E271" s="81" t="n"/>
      <c r="F271" s="80" t="n"/>
      <c r="G271" s="82">
        <f>IF($A271="","",MONTH($A271))</f>
        <v/>
      </c>
      <c r="H271" s="83">
        <f>IF($A271="","",SUMPRODUCT(($B$5:$B271="Receita")*$E$5:$E271)-SUMPRODUCT((($B$5:$B271="Despesa")+($B$5:$B271="Investimento"))*$E$5:$E271))</f>
        <v/>
      </c>
    </row>
    <row r="272">
      <c r="A272" s="79" t="n"/>
      <c r="B272" s="80" t="n"/>
      <c r="C272" s="80" t="n"/>
      <c r="D272" s="80" t="n"/>
      <c r="E272" s="81" t="n"/>
      <c r="F272" s="80" t="n"/>
      <c r="G272" s="82">
        <f>IF($A272="","",MONTH($A272))</f>
        <v/>
      </c>
      <c r="H272" s="83">
        <f>IF($A272="","",SUMPRODUCT(($B$5:$B272="Receita")*$E$5:$E272)-SUMPRODUCT((($B$5:$B272="Despesa")+($B$5:$B272="Investimento"))*$E$5:$E272))</f>
        <v/>
      </c>
    </row>
    <row r="273">
      <c r="A273" s="79" t="n"/>
      <c r="B273" s="80" t="n"/>
      <c r="C273" s="80" t="n"/>
      <c r="D273" s="80" t="n"/>
      <c r="E273" s="81" t="n"/>
      <c r="F273" s="80" t="n"/>
      <c r="G273" s="82">
        <f>IF($A273="","",MONTH($A273))</f>
        <v/>
      </c>
      <c r="H273" s="83">
        <f>IF($A273="","",SUMPRODUCT(($B$5:$B273="Receita")*$E$5:$E273)-SUMPRODUCT((($B$5:$B273="Despesa")+($B$5:$B273="Investimento"))*$E$5:$E273))</f>
        <v/>
      </c>
    </row>
    <row r="274">
      <c r="A274" s="79" t="n"/>
      <c r="B274" s="80" t="n"/>
      <c r="C274" s="80" t="n"/>
      <c r="D274" s="80" t="n"/>
      <c r="E274" s="81" t="n"/>
      <c r="F274" s="80" t="n"/>
      <c r="G274" s="82">
        <f>IF($A274="","",MONTH($A274))</f>
        <v/>
      </c>
      <c r="H274" s="83">
        <f>IF($A274="","",SUMPRODUCT(($B$5:$B274="Receita")*$E$5:$E274)-SUMPRODUCT((($B$5:$B274="Despesa")+($B$5:$B274="Investimento"))*$E$5:$E274))</f>
        <v/>
      </c>
    </row>
    <row r="275">
      <c r="A275" s="79" t="n"/>
      <c r="B275" s="80" t="n"/>
      <c r="C275" s="80" t="n"/>
      <c r="D275" s="80" t="n"/>
      <c r="E275" s="81" t="n"/>
      <c r="F275" s="80" t="n"/>
      <c r="G275" s="82">
        <f>IF($A275="","",MONTH($A275))</f>
        <v/>
      </c>
      <c r="H275" s="83">
        <f>IF($A275="","",SUMPRODUCT(($B$5:$B275="Receita")*$E$5:$E275)-SUMPRODUCT((($B$5:$B275="Despesa")+($B$5:$B275="Investimento"))*$E$5:$E275))</f>
        <v/>
      </c>
    </row>
    <row r="276">
      <c r="A276" s="79" t="n"/>
      <c r="B276" s="80" t="n"/>
      <c r="C276" s="80" t="n"/>
      <c r="D276" s="80" t="n"/>
      <c r="E276" s="81" t="n"/>
      <c r="F276" s="80" t="n"/>
      <c r="G276" s="82">
        <f>IF($A276="","",MONTH($A276))</f>
        <v/>
      </c>
      <c r="H276" s="83">
        <f>IF($A276="","",SUMPRODUCT(($B$5:$B276="Receita")*$E$5:$E276)-SUMPRODUCT((($B$5:$B276="Despesa")+($B$5:$B276="Investimento"))*$E$5:$E276))</f>
        <v/>
      </c>
    </row>
    <row r="277">
      <c r="A277" s="79" t="n"/>
      <c r="B277" s="80" t="n"/>
      <c r="C277" s="80" t="n"/>
      <c r="D277" s="80" t="n"/>
      <c r="E277" s="81" t="n"/>
      <c r="F277" s="80" t="n"/>
      <c r="G277" s="82">
        <f>IF($A277="","",MONTH($A277))</f>
        <v/>
      </c>
      <c r="H277" s="83">
        <f>IF($A277="","",SUMPRODUCT(($B$5:$B277="Receita")*$E$5:$E277)-SUMPRODUCT((($B$5:$B277="Despesa")+($B$5:$B277="Investimento"))*$E$5:$E277))</f>
        <v/>
      </c>
    </row>
    <row r="278">
      <c r="A278" s="79" t="n"/>
      <c r="B278" s="80" t="n"/>
      <c r="C278" s="80" t="n"/>
      <c r="D278" s="80" t="n"/>
      <c r="E278" s="81" t="n"/>
      <c r="F278" s="80" t="n"/>
      <c r="G278" s="82">
        <f>IF($A278="","",MONTH($A278))</f>
        <v/>
      </c>
      <c r="H278" s="83">
        <f>IF($A278="","",SUMPRODUCT(($B$5:$B278="Receita")*$E$5:$E278)-SUMPRODUCT((($B$5:$B278="Despesa")+($B$5:$B278="Investimento"))*$E$5:$E278))</f>
        <v/>
      </c>
    </row>
    <row r="279">
      <c r="A279" s="79" t="n"/>
      <c r="B279" s="80" t="n"/>
      <c r="C279" s="80" t="n"/>
      <c r="D279" s="80" t="n"/>
      <c r="E279" s="81" t="n"/>
      <c r="F279" s="80" t="n"/>
      <c r="G279" s="82">
        <f>IF($A279="","",MONTH($A279))</f>
        <v/>
      </c>
      <c r="H279" s="83">
        <f>IF($A279="","",SUMPRODUCT(($B$5:$B279="Receita")*$E$5:$E279)-SUMPRODUCT((($B$5:$B279="Despesa")+($B$5:$B279="Investimento"))*$E$5:$E279))</f>
        <v/>
      </c>
    </row>
    <row r="280">
      <c r="A280" s="79" t="n"/>
      <c r="B280" s="80" t="n"/>
      <c r="C280" s="80" t="n"/>
      <c r="D280" s="80" t="n"/>
      <c r="E280" s="81" t="n"/>
      <c r="F280" s="80" t="n"/>
      <c r="G280" s="82">
        <f>IF($A280="","",MONTH($A280))</f>
        <v/>
      </c>
      <c r="H280" s="83">
        <f>IF($A280="","",SUMPRODUCT(($B$5:$B280="Receita")*$E$5:$E280)-SUMPRODUCT((($B$5:$B280="Despesa")+($B$5:$B280="Investimento"))*$E$5:$E280))</f>
        <v/>
      </c>
    </row>
    <row r="281">
      <c r="A281" s="79" t="n"/>
      <c r="B281" s="80" t="n"/>
      <c r="C281" s="80" t="n"/>
      <c r="D281" s="80" t="n"/>
      <c r="E281" s="81" t="n"/>
      <c r="F281" s="80" t="n"/>
      <c r="G281" s="82">
        <f>IF($A281="","",MONTH($A281))</f>
        <v/>
      </c>
      <c r="H281" s="83">
        <f>IF($A281="","",SUMPRODUCT(($B$5:$B281="Receita")*$E$5:$E281)-SUMPRODUCT((($B$5:$B281="Despesa")+($B$5:$B281="Investimento"))*$E$5:$E281))</f>
        <v/>
      </c>
    </row>
    <row r="282">
      <c r="A282" s="79" t="n"/>
      <c r="B282" s="80" t="n"/>
      <c r="C282" s="80" t="n"/>
      <c r="D282" s="80" t="n"/>
      <c r="E282" s="81" t="n"/>
      <c r="F282" s="80" t="n"/>
      <c r="G282" s="82">
        <f>IF($A282="","",MONTH($A282))</f>
        <v/>
      </c>
      <c r="H282" s="83">
        <f>IF($A282="","",SUMPRODUCT(($B$5:$B282="Receita")*$E$5:$E282)-SUMPRODUCT((($B$5:$B282="Despesa")+($B$5:$B282="Investimento"))*$E$5:$E282))</f>
        <v/>
      </c>
    </row>
    <row r="283">
      <c r="A283" s="79" t="n"/>
      <c r="B283" s="80" t="n"/>
      <c r="C283" s="80" t="n"/>
      <c r="D283" s="80" t="n"/>
      <c r="E283" s="81" t="n"/>
      <c r="F283" s="80" t="n"/>
      <c r="G283" s="82">
        <f>IF($A283="","",MONTH($A283))</f>
        <v/>
      </c>
      <c r="H283" s="83">
        <f>IF($A283="","",SUMPRODUCT(($B$5:$B283="Receita")*$E$5:$E283)-SUMPRODUCT((($B$5:$B283="Despesa")+($B$5:$B283="Investimento"))*$E$5:$E283))</f>
        <v/>
      </c>
    </row>
    <row r="284">
      <c r="A284" s="79" t="n"/>
      <c r="B284" s="80" t="n"/>
      <c r="C284" s="80" t="n"/>
      <c r="D284" s="80" t="n"/>
      <c r="E284" s="81" t="n"/>
      <c r="F284" s="80" t="n"/>
      <c r="G284" s="82">
        <f>IF($A284="","",MONTH($A284))</f>
        <v/>
      </c>
      <c r="H284" s="83">
        <f>IF($A284="","",SUMPRODUCT(($B$5:$B284="Receita")*$E$5:$E284)-SUMPRODUCT((($B$5:$B284="Despesa")+($B$5:$B284="Investimento"))*$E$5:$E284))</f>
        <v/>
      </c>
    </row>
    <row r="285">
      <c r="A285" s="79" t="n"/>
      <c r="B285" s="80" t="n"/>
      <c r="C285" s="80" t="n"/>
      <c r="D285" s="80" t="n"/>
      <c r="E285" s="81" t="n"/>
      <c r="F285" s="80" t="n"/>
      <c r="G285" s="82">
        <f>IF($A285="","",MONTH($A285))</f>
        <v/>
      </c>
      <c r="H285" s="83">
        <f>IF($A285="","",SUMPRODUCT(($B$5:$B285="Receita")*$E$5:$E285)-SUMPRODUCT((($B$5:$B285="Despesa")+($B$5:$B285="Investimento"))*$E$5:$E285))</f>
        <v/>
      </c>
    </row>
    <row r="286">
      <c r="A286" s="79" t="n"/>
      <c r="B286" s="80" t="n"/>
      <c r="C286" s="80" t="n"/>
      <c r="D286" s="80" t="n"/>
      <c r="E286" s="81" t="n"/>
      <c r="F286" s="80" t="n"/>
      <c r="G286" s="82">
        <f>IF($A286="","",MONTH($A286))</f>
        <v/>
      </c>
      <c r="H286" s="83">
        <f>IF($A286="","",SUMPRODUCT(($B$5:$B286="Receita")*$E$5:$E286)-SUMPRODUCT((($B$5:$B286="Despesa")+($B$5:$B286="Investimento"))*$E$5:$E286))</f>
        <v/>
      </c>
    </row>
    <row r="287">
      <c r="A287" s="79" t="n"/>
      <c r="B287" s="80" t="n"/>
      <c r="C287" s="80" t="n"/>
      <c r="D287" s="80" t="n"/>
      <c r="E287" s="81" t="n"/>
      <c r="F287" s="80" t="n"/>
      <c r="G287" s="82">
        <f>IF($A287="","",MONTH($A287))</f>
        <v/>
      </c>
      <c r="H287" s="83">
        <f>IF($A287="","",SUMPRODUCT(($B$5:$B287="Receita")*$E$5:$E287)-SUMPRODUCT((($B$5:$B287="Despesa")+($B$5:$B287="Investimento"))*$E$5:$E287))</f>
        <v/>
      </c>
    </row>
    <row r="288">
      <c r="A288" s="79" t="n"/>
      <c r="B288" s="80" t="n"/>
      <c r="C288" s="80" t="n"/>
      <c r="D288" s="80" t="n"/>
      <c r="E288" s="81" t="n"/>
      <c r="F288" s="80" t="n"/>
      <c r="G288" s="82">
        <f>IF($A288="","",MONTH($A288))</f>
        <v/>
      </c>
      <c r="H288" s="83">
        <f>IF($A288="","",SUMPRODUCT(($B$5:$B288="Receita")*$E$5:$E288)-SUMPRODUCT((($B$5:$B288="Despesa")+($B$5:$B288="Investimento"))*$E$5:$E288))</f>
        <v/>
      </c>
    </row>
    <row r="289">
      <c r="A289" s="79" t="n"/>
      <c r="B289" s="80" t="n"/>
      <c r="C289" s="80" t="n"/>
      <c r="D289" s="80" t="n"/>
      <c r="E289" s="81" t="n"/>
      <c r="F289" s="80" t="n"/>
      <c r="G289" s="82">
        <f>IF($A289="","",MONTH($A289))</f>
        <v/>
      </c>
      <c r="H289" s="83">
        <f>IF($A289="","",SUMPRODUCT(($B$5:$B289="Receita")*$E$5:$E289)-SUMPRODUCT((($B$5:$B289="Despesa")+($B$5:$B289="Investimento"))*$E$5:$E289))</f>
        <v/>
      </c>
    </row>
    <row r="290">
      <c r="A290" s="79" t="n"/>
      <c r="B290" s="80" t="n"/>
      <c r="C290" s="80" t="n"/>
      <c r="D290" s="80" t="n"/>
      <c r="E290" s="81" t="n"/>
      <c r="F290" s="80" t="n"/>
      <c r="G290" s="82">
        <f>IF($A290="","",MONTH($A290))</f>
        <v/>
      </c>
      <c r="H290" s="83">
        <f>IF($A290="","",SUMPRODUCT(($B$5:$B290="Receita")*$E$5:$E290)-SUMPRODUCT((($B$5:$B290="Despesa")+($B$5:$B290="Investimento"))*$E$5:$E290))</f>
        <v/>
      </c>
    </row>
    <row r="291">
      <c r="A291" s="79" t="n"/>
      <c r="B291" s="80" t="n"/>
      <c r="C291" s="80" t="n"/>
      <c r="D291" s="80" t="n"/>
      <c r="E291" s="81" t="n"/>
      <c r="F291" s="80" t="n"/>
      <c r="G291" s="82">
        <f>IF($A291="","",MONTH($A291))</f>
        <v/>
      </c>
      <c r="H291" s="83">
        <f>IF($A291="","",SUMPRODUCT(($B$5:$B291="Receita")*$E$5:$E291)-SUMPRODUCT((($B$5:$B291="Despesa")+($B$5:$B291="Investimento"))*$E$5:$E291))</f>
        <v/>
      </c>
    </row>
    <row r="292">
      <c r="A292" s="79" t="n"/>
      <c r="B292" s="80" t="n"/>
      <c r="C292" s="80" t="n"/>
      <c r="D292" s="80" t="n"/>
      <c r="E292" s="81" t="n"/>
      <c r="F292" s="80" t="n"/>
      <c r="G292" s="82">
        <f>IF($A292="","",MONTH($A292))</f>
        <v/>
      </c>
      <c r="H292" s="83">
        <f>IF($A292="","",SUMPRODUCT(($B$5:$B292="Receita")*$E$5:$E292)-SUMPRODUCT((($B$5:$B292="Despesa")+($B$5:$B292="Investimento"))*$E$5:$E292))</f>
        <v/>
      </c>
    </row>
    <row r="293">
      <c r="A293" s="79" t="n"/>
      <c r="B293" s="80" t="n"/>
      <c r="C293" s="80" t="n"/>
      <c r="D293" s="80" t="n"/>
      <c r="E293" s="81" t="n"/>
      <c r="F293" s="80" t="n"/>
      <c r="G293" s="82">
        <f>IF($A293="","",MONTH($A293))</f>
        <v/>
      </c>
      <c r="H293" s="83">
        <f>IF($A293="","",SUMPRODUCT(($B$5:$B293="Receita")*$E$5:$E293)-SUMPRODUCT((($B$5:$B293="Despesa")+($B$5:$B293="Investimento"))*$E$5:$E293))</f>
        <v/>
      </c>
    </row>
    <row r="294">
      <c r="A294" s="79" t="n"/>
      <c r="B294" s="80" t="n"/>
      <c r="C294" s="80" t="n"/>
      <c r="D294" s="80" t="n"/>
      <c r="E294" s="81" t="n"/>
      <c r="F294" s="80" t="n"/>
      <c r="G294" s="82">
        <f>IF($A294="","",MONTH($A294))</f>
        <v/>
      </c>
      <c r="H294" s="83">
        <f>IF($A294="","",SUMPRODUCT(($B$5:$B294="Receita")*$E$5:$E294)-SUMPRODUCT((($B$5:$B294="Despesa")+($B$5:$B294="Investimento"))*$E$5:$E294))</f>
        <v/>
      </c>
    </row>
    <row r="295">
      <c r="A295" s="79" t="n"/>
      <c r="B295" s="80" t="n"/>
      <c r="C295" s="80" t="n"/>
      <c r="D295" s="80" t="n"/>
      <c r="E295" s="81" t="n"/>
      <c r="F295" s="80" t="n"/>
      <c r="G295" s="82">
        <f>IF($A295="","",MONTH($A295))</f>
        <v/>
      </c>
      <c r="H295" s="83">
        <f>IF($A295="","",SUMPRODUCT(($B$5:$B295="Receita")*$E$5:$E295)-SUMPRODUCT((($B$5:$B295="Despesa")+($B$5:$B295="Investimento"))*$E$5:$E295))</f>
        <v/>
      </c>
    </row>
    <row r="296">
      <c r="A296" s="79" t="n"/>
      <c r="B296" s="80" t="n"/>
      <c r="C296" s="80" t="n"/>
      <c r="D296" s="80" t="n"/>
      <c r="E296" s="81" t="n"/>
      <c r="F296" s="80" t="n"/>
      <c r="G296" s="82">
        <f>IF($A296="","",MONTH($A296))</f>
        <v/>
      </c>
      <c r="H296" s="83">
        <f>IF($A296="","",SUMPRODUCT(($B$5:$B296="Receita")*$E$5:$E296)-SUMPRODUCT((($B$5:$B296="Despesa")+($B$5:$B296="Investimento"))*$E$5:$E296))</f>
        <v/>
      </c>
    </row>
    <row r="297">
      <c r="A297" s="79" t="n"/>
      <c r="B297" s="80" t="n"/>
      <c r="C297" s="80" t="n"/>
      <c r="D297" s="80" t="n"/>
      <c r="E297" s="81" t="n"/>
      <c r="F297" s="80" t="n"/>
      <c r="G297" s="82">
        <f>IF($A297="","",MONTH($A297))</f>
        <v/>
      </c>
      <c r="H297" s="83">
        <f>IF($A297="","",SUMPRODUCT(($B$5:$B297="Receita")*$E$5:$E297)-SUMPRODUCT((($B$5:$B297="Despesa")+($B$5:$B297="Investimento"))*$E$5:$E297))</f>
        <v/>
      </c>
    </row>
    <row r="298">
      <c r="A298" s="79" t="n"/>
      <c r="B298" s="80" t="n"/>
      <c r="C298" s="80" t="n"/>
      <c r="D298" s="80" t="n"/>
      <c r="E298" s="81" t="n"/>
      <c r="F298" s="80" t="n"/>
      <c r="G298" s="82">
        <f>IF($A298="","",MONTH($A298))</f>
        <v/>
      </c>
      <c r="H298" s="83">
        <f>IF($A298="","",SUMPRODUCT(($B$5:$B298="Receita")*$E$5:$E298)-SUMPRODUCT((($B$5:$B298="Despesa")+($B$5:$B298="Investimento"))*$E$5:$E298))</f>
        <v/>
      </c>
    </row>
    <row r="299">
      <c r="A299" s="79" t="n"/>
      <c r="B299" s="80" t="n"/>
      <c r="C299" s="80" t="n"/>
      <c r="D299" s="80" t="n"/>
      <c r="E299" s="81" t="n"/>
      <c r="F299" s="80" t="n"/>
      <c r="G299" s="82">
        <f>IF($A299="","",MONTH($A299))</f>
        <v/>
      </c>
      <c r="H299" s="83">
        <f>IF($A299="","",SUMPRODUCT(($B$5:$B299="Receita")*$E$5:$E299)-SUMPRODUCT((($B$5:$B299="Despesa")+($B$5:$B299="Investimento"))*$E$5:$E299))</f>
        <v/>
      </c>
    </row>
    <row r="300">
      <c r="A300" s="79" t="n"/>
      <c r="B300" s="80" t="n"/>
      <c r="C300" s="80" t="n"/>
      <c r="D300" s="80" t="n"/>
      <c r="E300" s="81" t="n"/>
      <c r="F300" s="80" t="n"/>
      <c r="G300" s="82">
        <f>IF($A300="","",MONTH($A300))</f>
        <v/>
      </c>
      <c r="H300" s="83">
        <f>IF($A300="","",SUMPRODUCT(($B$5:$B300="Receita")*$E$5:$E300)-SUMPRODUCT((($B$5:$B300="Despesa")+($B$5:$B300="Investimento"))*$E$5:$E300))</f>
        <v/>
      </c>
    </row>
    <row r="301">
      <c r="A301" s="79" t="n"/>
      <c r="B301" s="80" t="n"/>
      <c r="C301" s="80" t="n"/>
      <c r="D301" s="80" t="n"/>
      <c r="E301" s="81" t="n"/>
      <c r="F301" s="80" t="n"/>
      <c r="G301" s="82">
        <f>IF($A301="","",MONTH($A301))</f>
        <v/>
      </c>
      <c r="H301" s="83">
        <f>IF($A301="","",SUMPRODUCT(($B$5:$B301="Receita")*$E$5:$E301)-SUMPRODUCT((($B$5:$B301="Despesa")+($B$5:$B301="Investimento"))*$E$5:$E301))</f>
        <v/>
      </c>
    </row>
    <row r="302">
      <c r="A302" s="79" t="n"/>
      <c r="B302" s="80" t="n"/>
      <c r="C302" s="80" t="n"/>
      <c r="D302" s="80" t="n"/>
      <c r="E302" s="81" t="n"/>
      <c r="F302" s="80" t="n"/>
      <c r="G302" s="82">
        <f>IF($A302="","",MONTH($A302))</f>
        <v/>
      </c>
      <c r="H302" s="83">
        <f>IF($A302="","",SUMPRODUCT(($B$5:$B302="Receita")*$E$5:$E302)-SUMPRODUCT((($B$5:$B302="Despesa")+($B$5:$B302="Investimento"))*$E$5:$E302))</f>
        <v/>
      </c>
    </row>
    <row r="303">
      <c r="A303" s="79" t="n"/>
      <c r="B303" s="80" t="n"/>
      <c r="C303" s="80" t="n"/>
      <c r="D303" s="80" t="n"/>
      <c r="E303" s="81" t="n"/>
      <c r="F303" s="80" t="n"/>
      <c r="G303" s="82">
        <f>IF($A303="","",MONTH($A303))</f>
        <v/>
      </c>
      <c r="H303" s="83">
        <f>IF($A303="","",SUMPRODUCT(($B$5:$B303="Receita")*$E$5:$E303)-SUMPRODUCT((($B$5:$B303="Despesa")+($B$5:$B303="Investimento"))*$E$5:$E303))</f>
        <v/>
      </c>
    </row>
    <row r="304">
      <c r="A304" s="79" t="n"/>
      <c r="B304" s="80" t="n"/>
      <c r="C304" s="80" t="n"/>
      <c r="D304" s="80" t="n"/>
      <c r="E304" s="81" t="n"/>
      <c r="F304" s="80" t="n"/>
      <c r="G304" s="82">
        <f>IF($A304="","",MONTH($A304))</f>
        <v/>
      </c>
      <c r="H304" s="83">
        <f>IF($A304="","",SUMPRODUCT(($B$5:$B304="Receita")*$E$5:$E304)-SUMPRODUCT((($B$5:$B304="Despesa")+($B$5:$B304="Investimento"))*$E$5:$E304))</f>
        <v/>
      </c>
    </row>
    <row r="305">
      <c r="A305" s="79" t="n"/>
      <c r="B305" s="80" t="n"/>
      <c r="C305" s="80" t="n"/>
      <c r="D305" s="80" t="n"/>
      <c r="E305" s="81" t="n"/>
      <c r="F305" s="80" t="n"/>
      <c r="G305" s="82">
        <f>IF($A305="","",MONTH($A305))</f>
        <v/>
      </c>
      <c r="H305" s="83">
        <f>IF($A305="","",SUMPRODUCT(($B$5:$B305="Receita")*$E$5:$E305)-SUMPRODUCT((($B$5:$B305="Despesa")+($B$5:$B305="Investimento"))*$E$5:$E305))</f>
        <v/>
      </c>
    </row>
    <row r="306">
      <c r="A306" s="79" t="n"/>
      <c r="B306" s="80" t="n"/>
      <c r="C306" s="80" t="n"/>
      <c r="D306" s="80" t="n"/>
      <c r="E306" s="81" t="n"/>
      <c r="F306" s="80" t="n"/>
      <c r="G306" s="82">
        <f>IF($A306="","",MONTH($A306))</f>
        <v/>
      </c>
      <c r="H306" s="83">
        <f>IF($A306="","",SUMPRODUCT(($B$5:$B306="Receita")*$E$5:$E306)-SUMPRODUCT((($B$5:$B306="Despesa")+($B$5:$B306="Investimento"))*$E$5:$E306))</f>
        <v/>
      </c>
    </row>
    <row r="307">
      <c r="A307" s="79" t="n"/>
      <c r="B307" s="80" t="n"/>
      <c r="C307" s="80" t="n"/>
      <c r="D307" s="80" t="n"/>
      <c r="E307" s="81" t="n"/>
      <c r="F307" s="80" t="n"/>
      <c r="G307" s="82">
        <f>IF($A307="","",MONTH($A307))</f>
        <v/>
      </c>
      <c r="H307" s="83">
        <f>IF($A307="","",SUMPRODUCT(($B$5:$B307="Receita")*$E$5:$E307)-SUMPRODUCT((($B$5:$B307="Despesa")+($B$5:$B307="Investimento"))*$E$5:$E307))</f>
        <v/>
      </c>
    </row>
    <row r="308">
      <c r="A308" s="79" t="n"/>
      <c r="B308" s="80" t="n"/>
      <c r="C308" s="80" t="n"/>
      <c r="D308" s="80" t="n"/>
      <c r="E308" s="81" t="n"/>
      <c r="F308" s="80" t="n"/>
      <c r="G308" s="82">
        <f>IF($A308="","",MONTH($A308))</f>
        <v/>
      </c>
      <c r="H308" s="83">
        <f>IF($A308="","",SUMPRODUCT(($B$5:$B308="Receita")*$E$5:$E308)-SUMPRODUCT((($B$5:$B308="Despesa")+($B$5:$B308="Investimento"))*$E$5:$E308))</f>
        <v/>
      </c>
    </row>
    <row r="309">
      <c r="A309" s="79" t="n"/>
      <c r="B309" s="80" t="n"/>
      <c r="C309" s="80" t="n"/>
      <c r="D309" s="80" t="n"/>
      <c r="E309" s="81" t="n"/>
      <c r="F309" s="80" t="n"/>
      <c r="G309" s="82">
        <f>IF($A309="","",MONTH($A309))</f>
        <v/>
      </c>
      <c r="H309" s="83">
        <f>IF($A309="","",SUMPRODUCT(($B$5:$B309="Receita")*$E$5:$E309)-SUMPRODUCT((($B$5:$B309="Despesa")+($B$5:$B309="Investimento"))*$E$5:$E309))</f>
        <v/>
      </c>
    </row>
    <row r="310">
      <c r="A310" s="79" t="n"/>
      <c r="B310" s="80" t="n"/>
      <c r="C310" s="80" t="n"/>
      <c r="D310" s="80" t="n"/>
      <c r="E310" s="81" t="n"/>
      <c r="F310" s="80" t="n"/>
      <c r="G310" s="82">
        <f>IF($A310="","",MONTH($A310))</f>
        <v/>
      </c>
      <c r="H310" s="83">
        <f>IF($A310="","",SUMPRODUCT(($B$5:$B310="Receita")*$E$5:$E310)-SUMPRODUCT((($B$5:$B310="Despesa")+($B$5:$B310="Investimento"))*$E$5:$E310))</f>
        <v/>
      </c>
    </row>
    <row r="311">
      <c r="A311" s="79" t="n"/>
      <c r="B311" s="80" t="n"/>
      <c r="C311" s="80" t="n"/>
      <c r="D311" s="80" t="n"/>
      <c r="E311" s="81" t="n"/>
      <c r="F311" s="80" t="n"/>
      <c r="G311" s="82">
        <f>IF($A311="","",MONTH($A311))</f>
        <v/>
      </c>
      <c r="H311" s="83">
        <f>IF($A311="","",SUMPRODUCT(($B$5:$B311="Receita")*$E$5:$E311)-SUMPRODUCT((($B$5:$B311="Despesa")+($B$5:$B311="Investimento"))*$E$5:$E311))</f>
        <v/>
      </c>
    </row>
    <row r="312">
      <c r="A312" s="79" t="n"/>
      <c r="B312" s="80" t="n"/>
      <c r="C312" s="80" t="n"/>
      <c r="D312" s="80" t="n"/>
      <c r="E312" s="81" t="n"/>
      <c r="F312" s="80" t="n"/>
      <c r="G312" s="82">
        <f>IF($A312="","",MONTH($A312))</f>
        <v/>
      </c>
      <c r="H312" s="83">
        <f>IF($A312="","",SUMPRODUCT(($B$5:$B312="Receita")*$E$5:$E312)-SUMPRODUCT((($B$5:$B312="Despesa")+($B$5:$B312="Investimento"))*$E$5:$E312))</f>
        <v/>
      </c>
    </row>
    <row r="313">
      <c r="A313" s="79" t="n"/>
      <c r="B313" s="80" t="n"/>
      <c r="C313" s="80" t="n"/>
      <c r="D313" s="80" t="n"/>
      <c r="E313" s="81" t="n"/>
      <c r="F313" s="80" t="n"/>
      <c r="G313" s="82">
        <f>IF($A313="","",MONTH($A313))</f>
        <v/>
      </c>
      <c r="H313" s="83">
        <f>IF($A313="","",SUMPRODUCT(($B$5:$B313="Receita")*$E$5:$E313)-SUMPRODUCT((($B$5:$B313="Despesa")+($B$5:$B313="Investimento"))*$E$5:$E313))</f>
        <v/>
      </c>
    </row>
    <row r="314">
      <c r="A314" s="79" t="n"/>
      <c r="B314" s="80" t="n"/>
      <c r="C314" s="80" t="n"/>
      <c r="D314" s="80" t="n"/>
      <c r="E314" s="81" t="n"/>
      <c r="F314" s="80" t="n"/>
      <c r="G314" s="82">
        <f>IF($A314="","",MONTH($A314))</f>
        <v/>
      </c>
      <c r="H314" s="83">
        <f>IF($A314="","",SUMPRODUCT(($B$5:$B314="Receita")*$E$5:$E314)-SUMPRODUCT((($B$5:$B314="Despesa")+($B$5:$B314="Investimento"))*$E$5:$E314))</f>
        <v/>
      </c>
    </row>
    <row r="315">
      <c r="A315" s="79" t="n"/>
      <c r="B315" s="80" t="n"/>
      <c r="C315" s="80" t="n"/>
      <c r="D315" s="80" t="n"/>
      <c r="E315" s="81" t="n"/>
      <c r="F315" s="80" t="n"/>
      <c r="G315" s="82">
        <f>IF($A315="","",MONTH($A315))</f>
        <v/>
      </c>
      <c r="H315" s="83">
        <f>IF($A315="","",SUMPRODUCT(($B$5:$B315="Receita")*$E$5:$E315)-SUMPRODUCT((($B$5:$B315="Despesa")+($B$5:$B315="Investimento"))*$E$5:$E315))</f>
        <v/>
      </c>
    </row>
    <row r="316">
      <c r="A316" s="79" t="n"/>
      <c r="B316" s="80" t="n"/>
      <c r="C316" s="80" t="n"/>
      <c r="D316" s="80" t="n"/>
      <c r="E316" s="81" t="n"/>
      <c r="F316" s="80" t="n"/>
      <c r="G316" s="82">
        <f>IF($A316="","",MONTH($A316))</f>
        <v/>
      </c>
      <c r="H316" s="83">
        <f>IF($A316="","",SUMPRODUCT(($B$5:$B316="Receita")*$E$5:$E316)-SUMPRODUCT((($B$5:$B316="Despesa")+($B$5:$B316="Investimento"))*$E$5:$E316))</f>
        <v/>
      </c>
    </row>
    <row r="317">
      <c r="A317" s="79" t="n"/>
      <c r="B317" s="80" t="n"/>
      <c r="C317" s="80" t="n"/>
      <c r="D317" s="80" t="n"/>
      <c r="E317" s="81" t="n"/>
      <c r="F317" s="80" t="n"/>
      <c r="G317" s="82">
        <f>IF($A317="","",MONTH($A317))</f>
        <v/>
      </c>
      <c r="H317" s="83">
        <f>IF($A317="","",SUMPRODUCT(($B$5:$B317="Receita")*$E$5:$E317)-SUMPRODUCT((($B$5:$B317="Despesa")+($B$5:$B317="Investimento"))*$E$5:$E317))</f>
        <v/>
      </c>
    </row>
    <row r="318">
      <c r="A318" s="79" t="n"/>
      <c r="B318" s="80" t="n"/>
      <c r="C318" s="80" t="n"/>
      <c r="D318" s="80" t="n"/>
      <c r="E318" s="81" t="n"/>
      <c r="F318" s="80" t="n"/>
      <c r="G318" s="82">
        <f>IF($A318="","",MONTH($A318))</f>
        <v/>
      </c>
      <c r="H318" s="83">
        <f>IF($A318="","",SUMPRODUCT(($B$5:$B318="Receita")*$E$5:$E318)-SUMPRODUCT((($B$5:$B318="Despesa")+($B$5:$B318="Investimento"))*$E$5:$E318))</f>
        <v/>
      </c>
    </row>
    <row r="319">
      <c r="A319" s="79" t="n"/>
      <c r="B319" s="80" t="n"/>
      <c r="C319" s="80" t="n"/>
      <c r="D319" s="80" t="n"/>
      <c r="E319" s="81" t="n"/>
      <c r="F319" s="80" t="n"/>
      <c r="G319" s="82">
        <f>IF($A319="","",MONTH($A319))</f>
        <v/>
      </c>
      <c r="H319" s="83">
        <f>IF($A319="","",SUMPRODUCT(($B$5:$B319="Receita")*$E$5:$E319)-SUMPRODUCT((($B$5:$B319="Despesa")+($B$5:$B319="Investimento"))*$E$5:$E319))</f>
        <v/>
      </c>
    </row>
    <row r="320">
      <c r="A320" s="79" t="n"/>
      <c r="B320" s="80" t="n"/>
      <c r="C320" s="80" t="n"/>
      <c r="D320" s="80" t="n"/>
      <c r="E320" s="81" t="n"/>
      <c r="F320" s="80" t="n"/>
      <c r="G320" s="82">
        <f>IF($A320="","",MONTH($A320))</f>
        <v/>
      </c>
      <c r="H320" s="83">
        <f>IF($A320="","",SUMPRODUCT(($B$5:$B320="Receita")*$E$5:$E320)-SUMPRODUCT((($B$5:$B320="Despesa")+($B$5:$B320="Investimento"))*$E$5:$E320))</f>
        <v/>
      </c>
    </row>
    <row r="321">
      <c r="A321" s="79" t="n"/>
      <c r="B321" s="80" t="n"/>
      <c r="C321" s="80" t="n"/>
      <c r="D321" s="80" t="n"/>
      <c r="E321" s="81" t="n"/>
      <c r="F321" s="80" t="n"/>
      <c r="G321" s="82">
        <f>IF($A321="","",MONTH($A321))</f>
        <v/>
      </c>
      <c r="H321" s="83">
        <f>IF($A321="","",SUMPRODUCT(($B$5:$B321="Receita")*$E$5:$E321)-SUMPRODUCT((($B$5:$B321="Despesa")+($B$5:$B321="Investimento"))*$E$5:$E321))</f>
        <v/>
      </c>
    </row>
    <row r="322">
      <c r="A322" s="79" t="n"/>
      <c r="B322" s="80" t="n"/>
      <c r="C322" s="80" t="n"/>
      <c r="D322" s="80" t="n"/>
      <c r="E322" s="81" t="n"/>
      <c r="F322" s="80" t="n"/>
      <c r="G322" s="82">
        <f>IF($A322="","",MONTH($A322))</f>
        <v/>
      </c>
      <c r="H322" s="83">
        <f>IF($A322="","",SUMPRODUCT(($B$5:$B322="Receita")*$E$5:$E322)-SUMPRODUCT((($B$5:$B322="Despesa")+($B$5:$B322="Investimento"))*$E$5:$E322))</f>
        <v/>
      </c>
    </row>
    <row r="323">
      <c r="A323" s="79" t="n"/>
      <c r="B323" s="80" t="n"/>
      <c r="C323" s="80" t="n"/>
      <c r="D323" s="80" t="n"/>
      <c r="E323" s="81" t="n"/>
      <c r="F323" s="80" t="n"/>
      <c r="G323" s="82">
        <f>IF($A323="","",MONTH($A323))</f>
        <v/>
      </c>
      <c r="H323" s="83">
        <f>IF($A323="","",SUMPRODUCT(($B$5:$B323="Receita")*$E$5:$E323)-SUMPRODUCT((($B$5:$B323="Despesa")+($B$5:$B323="Investimento"))*$E$5:$E323))</f>
        <v/>
      </c>
    </row>
    <row r="324">
      <c r="A324" s="79" t="n"/>
      <c r="B324" s="80" t="n"/>
      <c r="C324" s="80" t="n"/>
      <c r="D324" s="80" t="n"/>
      <c r="E324" s="81" t="n"/>
      <c r="F324" s="80" t="n"/>
      <c r="G324" s="82">
        <f>IF($A324="","",MONTH($A324))</f>
        <v/>
      </c>
      <c r="H324" s="83">
        <f>IF($A324="","",SUMPRODUCT(($B$5:$B324="Receita")*$E$5:$E324)-SUMPRODUCT((($B$5:$B324="Despesa")+($B$5:$B324="Investimento"))*$E$5:$E324))</f>
        <v/>
      </c>
    </row>
    <row r="325">
      <c r="A325" s="79" t="n"/>
      <c r="B325" s="80" t="n"/>
      <c r="C325" s="80" t="n"/>
      <c r="D325" s="80" t="n"/>
      <c r="E325" s="81" t="n"/>
      <c r="F325" s="80" t="n"/>
      <c r="G325" s="82">
        <f>IF($A325="","",MONTH($A325))</f>
        <v/>
      </c>
      <c r="H325" s="83">
        <f>IF($A325="","",SUMPRODUCT(($B$5:$B325="Receita")*$E$5:$E325)-SUMPRODUCT((($B$5:$B325="Despesa")+($B$5:$B325="Investimento"))*$E$5:$E325))</f>
        <v/>
      </c>
    </row>
    <row r="326">
      <c r="A326" s="79" t="n"/>
      <c r="B326" s="80" t="n"/>
      <c r="C326" s="80" t="n"/>
      <c r="D326" s="80" t="n"/>
      <c r="E326" s="81" t="n"/>
      <c r="F326" s="80" t="n"/>
      <c r="G326" s="82">
        <f>IF($A326="","",MONTH($A326))</f>
        <v/>
      </c>
      <c r="H326" s="83">
        <f>IF($A326="","",SUMPRODUCT(($B$5:$B326="Receita")*$E$5:$E326)-SUMPRODUCT((($B$5:$B326="Despesa")+($B$5:$B326="Investimento"))*$E$5:$E326))</f>
        <v/>
      </c>
    </row>
    <row r="327">
      <c r="A327" s="79" t="n"/>
      <c r="B327" s="80" t="n"/>
      <c r="C327" s="80" t="n"/>
      <c r="D327" s="80" t="n"/>
      <c r="E327" s="81" t="n"/>
      <c r="F327" s="80" t="n"/>
      <c r="G327" s="82">
        <f>IF($A327="","",MONTH($A327))</f>
        <v/>
      </c>
      <c r="H327" s="83">
        <f>IF($A327="","",SUMPRODUCT(($B$5:$B327="Receita")*$E$5:$E327)-SUMPRODUCT((($B$5:$B327="Despesa")+($B$5:$B327="Investimento"))*$E$5:$E327))</f>
        <v/>
      </c>
    </row>
    <row r="328">
      <c r="A328" s="79" t="n"/>
      <c r="B328" s="80" t="n"/>
      <c r="C328" s="80" t="n"/>
      <c r="D328" s="80" t="n"/>
      <c r="E328" s="81" t="n"/>
      <c r="F328" s="80" t="n"/>
      <c r="G328" s="82">
        <f>IF($A328="","",MONTH($A328))</f>
        <v/>
      </c>
      <c r="H328" s="83">
        <f>IF($A328="","",SUMPRODUCT(($B$5:$B328="Receita")*$E$5:$E328)-SUMPRODUCT((($B$5:$B328="Despesa")+($B$5:$B328="Investimento"))*$E$5:$E328))</f>
        <v/>
      </c>
    </row>
    <row r="329">
      <c r="A329" s="79" t="n"/>
      <c r="B329" s="80" t="n"/>
      <c r="C329" s="80" t="n"/>
      <c r="D329" s="80" t="n"/>
      <c r="E329" s="81" t="n"/>
      <c r="F329" s="80" t="n"/>
      <c r="G329" s="82">
        <f>IF($A329="","",MONTH($A329))</f>
        <v/>
      </c>
      <c r="H329" s="83">
        <f>IF($A329="","",SUMPRODUCT(($B$5:$B329="Receita")*$E$5:$E329)-SUMPRODUCT((($B$5:$B329="Despesa")+($B$5:$B329="Investimento"))*$E$5:$E329))</f>
        <v/>
      </c>
    </row>
    <row r="330">
      <c r="A330" s="79" t="n"/>
      <c r="B330" s="80" t="n"/>
      <c r="C330" s="80" t="n"/>
      <c r="D330" s="80" t="n"/>
      <c r="E330" s="81" t="n"/>
      <c r="F330" s="80" t="n"/>
      <c r="G330" s="82">
        <f>IF($A330="","",MONTH($A330))</f>
        <v/>
      </c>
      <c r="H330" s="83">
        <f>IF($A330="","",SUMPRODUCT(($B$5:$B330="Receita")*$E$5:$E330)-SUMPRODUCT((($B$5:$B330="Despesa")+($B$5:$B330="Investimento"))*$E$5:$E330))</f>
        <v/>
      </c>
    </row>
    <row r="331">
      <c r="A331" s="79" t="n"/>
      <c r="B331" s="80" t="n"/>
      <c r="C331" s="80" t="n"/>
      <c r="D331" s="80" t="n"/>
      <c r="E331" s="81" t="n"/>
      <c r="F331" s="80" t="n"/>
      <c r="G331" s="82">
        <f>IF($A331="","",MONTH($A331))</f>
        <v/>
      </c>
      <c r="H331" s="83">
        <f>IF($A331="","",SUMPRODUCT(($B$5:$B331="Receita")*$E$5:$E331)-SUMPRODUCT((($B$5:$B331="Despesa")+($B$5:$B331="Investimento"))*$E$5:$E331))</f>
        <v/>
      </c>
    </row>
    <row r="332">
      <c r="A332" s="79" t="n"/>
      <c r="B332" s="80" t="n"/>
      <c r="C332" s="80" t="n"/>
      <c r="D332" s="80" t="n"/>
      <c r="E332" s="81" t="n"/>
      <c r="F332" s="80" t="n"/>
      <c r="G332" s="82">
        <f>IF($A332="","",MONTH($A332))</f>
        <v/>
      </c>
      <c r="H332" s="83">
        <f>IF($A332="","",SUMPRODUCT(($B$5:$B332="Receita")*$E$5:$E332)-SUMPRODUCT((($B$5:$B332="Despesa")+($B$5:$B332="Investimento"))*$E$5:$E332))</f>
        <v/>
      </c>
    </row>
    <row r="333">
      <c r="A333" s="79" t="n"/>
      <c r="B333" s="80" t="n"/>
      <c r="C333" s="80" t="n"/>
      <c r="D333" s="80" t="n"/>
      <c r="E333" s="81" t="n"/>
      <c r="F333" s="80" t="n"/>
      <c r="G333" s="82">
        <f>IF($A333="","",MONTH($A333))</f>
        <v/>
      </c>
      <c r="H333" s="83">
        <f>IF($A333="","",SUMPRODUCT(($B$5:$B333="Receita")*$E$5:$E333)-SUMPRODUCT((($B$5:$B333="Despesa")+($B$5:$B333="Investimento"))*$E$5:$E333))</f>
        <v/>
      </c>
    </row>
    <row r="334">
      <c r="A334" s="79" t="n"/>
      <c r="B334" s="80" t="n"/>
      <c r="C334" s="80" t="n"/>
      <c r="D334" s="80" t="n"/>
      <c r="E334" s="81" t="n"/>
      <c r="F334" s="80" t="n"/>
      <c r="G334" s="82">
        <f>IF($A334="","",MONTH($A334))</f>
        <v/>
      </c>
      <c r="H334" s="83">
        <f>IF($A334="","",SUMPRODUCT(($B$5:$B334="Receita")*$E$5:$E334)-SUMPRODUCT((($B$5:$B334="Despesa")+($B$5:$B334="Investimento"))*$E$5:$E334))</f>
        <v/>
      </c>
    </row>
    <row r="335">
      <c r="A335" s="79" t="n"/>
      <c r="B335" s="80" t="n"/>
      <c r="C335" s="80" t="n"/>
      <c r="D335" s="80" t="n"/>
      <c r="E335" s="81" t="n"/>
      <c r="F335" s="80" t="n"/>
      <c r="G335" s="82">
        <f>IF($A335="","",MONTH($A335))</f>
        <v/>
      </c>
      <c r="H335" s="83">
        <f>IF($A335="","",SUMPRODUCT(($B$5:$B335="Receita")*$E$5:$E335)-SUMPRODUCT((($B$5:$B335="Despesa")+($B$5:$B335="Investimento"))*$E$5:$E335))</f>
        <v/>
      </c>
    </row>
    <row r="336">
      <c r="A336" s="79" t="n"/>
      <c r="B336" s="80" t="n"/>
      <c r="C336" s="80" t="n"/>
      <c r="D336" s="80" t="n"/>
      <c r="E336" s="81" t="n"/>
      <c r="F336" s="80" t="n"/>
      <c r="G336" s="82">
        <f>IF($A336="","",MONTH($A336))</f>
        <v/>
      </c>
      <c r="H336" s="83">
        <f>IF($A336="","",SUMPRODUCT(($B$5:$B336="Receita")*$E$5:$E336)-SUMPRODUCT((($B$5:$B336="Despesa")+($B$5:$B336="Investimento"))*$E$5:$E336))</f>
        <v/>
      </c>
    </row>
    <row r="337">
      <c r="A337" s="79" t="n"/>
      <c r="B337" s="80" t="n"/>
      <c r="C337" s="80" t="n"/>
      <c r="D337" s="80" t="n"/>
      <c r="E337" s="81" t="n"/>
      <c r="F337" s="80" t="n"/>
      <c r="G337" s="82">
        <f>IF($A337="","",MONTH($A337))</f>
        <v/>
      </c>
      <c r="H337" s="83">
        <f>IF($A337="","",SUMPRODUCT(($B$5:$B337="Receita")*$E$5:$E337)-SUMPRODUCT((($B$5:$B337="Despesa")+($B$5:$B337="Investimento"))*$E$5:$E337))</f>
        <v/>
      </c>
    </row>
    <row r="338">
      <c r="A338" s="79" t="n"/>
      <c r="B338" s="80" t="n"/>
      <c r="C338" s="80" t="n"/>
      <c r="D338" s="80" t="n"/>
      <c r="E338" s="81" t="n"/>
      <c r="F338" s="80" t="n"/>
      <c r="G338" s="82">
        <f>IF($A338="","",MONTH($A338))</f>
        <v/>
      </c>
      <c r="H338" s="83">
        <f>IF($A338="","",SUMPRODUCT(($B$5:$B338="Receita")*$E$5:$E338)-SUMPRODUCT((($B$5:$B338="Despesa")+($B$5:$B338="Investimento"))*$E$5:$E338))</f>
        <v/>
      </c>
    </row>
    <row r="339">
      <c r="A339" s="79" t="n"/>
      <c r="B339" s="80" t="n"/>
      <c r="C339" s="80" t="n"/>
      <c r="D339" s="80" t="n"/>
      <c r="E339" s="81" t="n"/>
      <c r="F339" s="80" t="n"/>
      <c r="G339" s="82">
        <f>IF($A339="","",MONTH($A339))</f>
        <v/>
      </c>
      <c r="H339" s="83">
        <f>IF($A339="","",SUMPRODUCT(($B$5:$B339="Receita")*$E$5:$E339)-SUMPRODUCT((($B$5:$B339="Despesa")+($B$5:$B339="Investimento"))*$E$5:$E339))</f>
        <v/>
      </c>
    </row>
    <row r="340">
      <c r="A340" s="79" t="n"/>
      <c r="B340" s="80" t="n"/>
      <c r="C340" s="80" t="n"/>
      <c r="D340" s="80" t="n"/>
      <c r="E340" s="81" t="n"/>
      <c r="F340" s="80" t="n"/>
      <c r="G340" s="82">
        <f>IF($A340="","",MONTH($A340))</f>
        <v/>
      </c>
      <c r="H340" s="83">
        <f>IF($A340="","",SUMPRODUCT(($B$5:$B340="Receita")*$E$5:$E340)-SUMPRODUCT((($B$5:$B340="Despesa")+($B$5:$B340="Investimento"))*$E$5:$E340))</f>
        <v/>
      </c>
    </row>
    <row r="341">
      <c r="A341" s="79" t="n"/>
      <c r="B341" s="80" t="n"/>
      <c r="C341" s="80" t="n"/>
      <c r="D341" s="80" t="n"/>
      <c r="E341" s="81" t="n"/>
      <c r="F341" s="80" t="n"/>
      <c r="G341" s="82">
        <f>IF($A341="","",MONTH($A341))</f>
        <v/>
      </c>
      <c r="H341" s="83">
        <f>IF($A341="","",SUMPRODUCT(($B$5:$B341="Receita")*$E$5:$E341)-SUMPRODUCT((($B$5:$B341="Despesa")+($B$5:$B341="Investimento"))*$E$5:$E341))</f>
        <v/>
      </c>
    </row>
    <row r="342">
      <c r="A342" s="79" t="n"/>
      <c r="B342" s="80" t="n"/>
      <c r="C342" s="80" t="n"/>
      <c r="D342" s="80" t="n"/>
      <c r="E342" s="81" t="n"/>
      <c r="F342" s="80" t="n"/>
      <c r="G342" s="82">
        <f>IF($A342="","",MONTH($A342))</f>
        <v/>
      </c>
      <c r="H342" s="83">
        <f>IF($A342="","",SUMPRODUCT(($B$5:$B342="Receita")*$E$5:$E342)-SUMPRODUCT((($B$5:$B342="Despesa")+($B$5:$B342="Investimento"))*$E$5:$E342))</f>
        <v/>
      </c>
    </row>
    <row r="343">
      <c r="A343" s="79" t="n"/>
      <c r="B343" s="80" t="n"/>
      <c r="C343" s="80" t="n"/>
      <c r="D343" s="80" t="n"/>
      <c r="E343" s="81" t="n"/>
      <c r="F343" s="80" t="n"/>
      <c r="G343" s="82">
        <f>IF($A343="","",MONTH($A343))</f>
        <v/>
      </c>
      <c r="H343" s="83">
        <f>IF($A343="","",SUMPRODUCT(($B$5:$B343="Receita")*$E$5:$E343)-SUMPRODUCT((($B$5:$B343="Despesa")+($B$5:$B343="Investimento"))*$E$5:$E343))</f>
        <v/>
      </c>
    </row>
    <row r="344">
      <c r="A344" s="79" t="n"/>
      <c r="B344" s="80" t="n"/>
      <c r="C344" s="80" t="n"/>
      <c r="D344" s="80" t="n"/>
      <c r="E344" s="81" t="n"/>
      <c r="F344" s="80" t="n"/>
      <c r="G344" s="82">
        <f>IF($A344="","",MONTH($A344))</f>
        <v/>
      </c>
      <c r="H344" s="83">
        <f>IF($A344="","",SUMPRODUCT(($B$5:$B344="Receita")*$E$5:$E344)-SUMPRODUCT((($B$5:$B344="Despesa")+($B$5:$B344="Investimento"))*$E$5:$E344))</f>
        <v/>
      </c>
    </row>
    <row r="345">
      <c r="A345" s="79" t="n"/>
      <c r="B345" s="80" t="n"/>
      <c r="C345" s="80" t="n"/>
      <c r="D345" s="80" t="n"/>
      <c r="E345" s="81" t="n"/>
      <c r="F345" s="80" t="n"/>
      <c r="G345" s="82">
        <f>IF($A345="","",MONTH($A345))</f>
        <v/>
      </c>
      <c r="H345" s="83">
        <f>IF($A345="","",SUMPRODUCT(($B$5:$B345="Receita")*$E$5:$E345)-SUMPRODUCT((($B$5:$B345="Despesa")+($B$5:$B345="Investimento"))*$E$5:$E345))</f>
        <v/>
      </c>
    </row>
    <row r="346">
      <c r="A346" s="79" t="n"/>
      <c r="B346" s="80" t="n"/>
      <c r="C346" s="80" t="n"/>
      <c r="D346" s="80" t="n"/>
      <c r="E346" s="81" t="n"/>
      <c r="F346" s="80" t="n"/>
      <c r="G346" s="82">
        <f>IF($A346="","",MONTH($A346))</f>
        <v/>
      </c>
      <c r="H346" s="83">
        <f>IF($A346="","",SUMPRODUCT(($B$5:$B346="Receita")*$E$5:$E346)-SUMPRODUCT((($B$5:$B346="Despesa")+($B$5:$B346="Investimento"))*$E$5:$E346))</f>
        <v/>
      </c>
    </row>
    <row r="347">
      <c r="A347" s="79" t="n"/>
      <c r="B347" s="80" t="n"/>
      <c r="C347" s="80" t="n"/>
      <c r="D347" s="80" t="n"/>
      <c r="E347" s="81" t="n"/>
      <c r="F347" s="80" t="n"/>
      <c r="G347" s="82">
        <f>IF($A347="","",MONTH($A347))</f>
        <v/>
      </c>
      <c r="H347" s="83">
        <f>IF($A347="","",SUMPRODUCT(($B$5:$B347="Receita")*$E$5:$E347)-SUMPRODUCT((($B$5:$B347="Despesa")+($B$5:$B347="Investimento"))*$E$5:$E347))</f>
        <v/>
      </c>
    </row>
    <row r="348">
      <c r="A348" s="79" t="n"/>
      <c r="B348" s="80" t="n"/>
      <c r="C348" s="80" t="n"/>
      <c r="D348" s="80" t="n"/>
      <c r="E348" s="81" t="n"/>
      <c r="F348" s="80" t="n"/>
      <c r="G348" s="82">
        <f>IF($A348="","",MONTH($A348))</f>
        <v/>
      </c>
      <c r="H348" s="83">
        <f>IF($A348="","",SUMPRODUCT(($B$5:$B348="Receita")*$E$5:$E348)-SUMPRODUCT((($B$5:$B348="Despesa")+($B$5:$B348="Investimento"))*$E$5:$E348))</f>
        <v/>
      </c>
    </row>
    <row r="349">
      <c r="A349" s="79" t="n"/>
      <c r="B349" s="80" t="n"/>
      <c r="C349" s="80" t="n"/>
      <c r="D349" s="80" t="n"/>
      <c r="E349" s="81" t="n"/>
      <c r="F349" s="80" t="n"/>
      <c r="G349" s="82">
        <f>IF($A349="","",MONTH($A349))</f>
        <v/>
      </c>
      <c r="H349" s="83">
        <f>IF($A349="","",SUMPRODUCT(($B$5:$B349="Receita")*$E$5:$E349)-SUMPRODUCT((($B$5:$B349="Despesa")+($B$5:$B349="Investimento"))*$E$5:$E349))</f>
        <v/>
      </c>
    </row>
    <row r="350">
      <c r="A350" s="79" t="n"/>
      <c r="B350" s="80" t="n"/>
      <c r="C350" s="80" t="n"/>
      <c r="D350" s="80" t="n"/>
      <c r="E350" s="81" t="n"/>
      <c r="F350" s="80" t="n"/>
      <c r="G350" s="82">
        <f>IF($A350="","",MONTH($A350))</f>
        <v/>
      </c>
      <c r="H350" s="83">
        <f>IF($A350="","",SUMPRODUCT(($B$5:$B350="Receita")*$E$5:$E350)-SUMPRODUCT((($B$5:$B350="Despesa")+($B$5:$B350="Investimento"))*$E$5:$E350))</f>
        <v/>
      </c>
    </row>
    <row r="351">
      <c r="A351" s="79" t="n"/>
      <c r="B351" s="80" t="n"/>
      <c r="C351" s="80" t="n"/>
      <c r="D351" s="80" t="n"/>
      <c r="E351" s="81" t="n"/>
      <c r="F351" s="80" t="n"/>
      <c r="G351" s="82">
        <f>IF($A351="","",MONTH($A351))</f>
        <v/>
      </c>
      <c r="H351" s="83">
        <f>IF($A351="","",SUMPRODUCT(($B$5:$B351="Receita")*$E$5:$E351)-SUMPRODUCT((($B$5:$B351="Despesa")+($B$5:$B351="Investimento"))*$E$5:$E351))</f>
        <v/>
      </c>
    </row>
    <row r="352">
      <c r="A352" s="79" t="n"/>
      <c r="B352" s="80" t="n"/>
      <c r="C352" s="80" t="n"/>
      <c r="D352" s="80" t="n"/>
      <c r="E352" s="81" t="n"/>
      <c r="F352" s="80" t="n"/>
      <c r="G352" s="82">
        <f>IF($A352="","",MONTH($A352))</f>
        <v/>
      </c>
      <c r="H352" s="83">
        <f>IF($A352="","",SUMPRODUCT(($B$5:$B352="Receita")*$E$5:$E352)-SUMPRODUCT((($B$5:$B352="Despesa")+($B$5:$B352="Investimento"))*$E$5:$E352))</f>
        <v/>
      </c>
    </row>
    <row r="353">
      <c r="A353" s="79" t="n"/>
      <c r="B353" s="80" t="n"/>
      <c r="C353" s="80" t="n"/>
      <c r="D353" s="80" t="n"/>
      <c r="E353" s="81" t="n"/>
      <c r="F353" s="80" t="n"/>
      <c r="G353" s="82">
        <f>IF($A353="","",MONTH($A353))</f>
        <v/>
      </c>
      <c r="H353" s="83">
        <f>IF($A353="","",SUMPRODUCT(($B$5:$B353="Receita")*$E$5:$E353)-SUMPRODUCT((($B$5:$B353="Despesa")+($B$5:$B353="Investimento"))*$E$5:$E353))</f>
        <v/>
      </c>
    </row>
    <row r="354">
      <c r="A354" s="79" t="n"/>
      <c r="B354" s="80" t="n"/>
      <c r="C354" s="80" t="n"/>
      <c r="D354" s="80" t="n"/>
      <c r="E354" s="81" t="n"/>
      <c r="F354" s="80" t="n"/>
      <c r="G354" s="82">
        <f>IF($A354="","",MONTH($A354))</f>
        <v/>
      </c>
      <c r="H354" s="83">
        <f>IF($A354="","",SUMPRODUCT(($B$5:$B354="Receita")*$E$5:$E354)-SUMPRODUCT((($B$5:$B354="Despesa")+($B$5:$B354="Investimento"))*$E$5:$E354))</f>
        <v/>
      </c>
    </row>
    <row r="355">
      <c r="A355" s="79" t="n"/>
      <c r="B355" s="80" t="n"/>
      <c r="C355" s="80" t="n"/>
      <c r="D355" s="80" t="n"/>
      <c r="E355" s="81" t="n"/>
      <c r="F355" s="80" t="n"/>
      <c r="G355" s="82">
        <f>IF($A355="","",MONTH($A355))</f>
        <v/>
      </c>
      <c r="H355" s="83">
        <f>IF($A355="","",SUMPRODUCT(($B$5:$B355="Receita")*$E$5:$E355)-SUMPRODUCT((($B$5:$B355="Despesa")+($B$5:$B355="Investimento"))*$E$5:$E355))</f>
        <v/>
      </c>
    </row>
    <row r="356">
      <c r="A356" s="79" t="n"/>
      <c r="B356" s="80" t="n"/>
      <c r="C356" s="80" t="n"/>
      <c r="D356" s="80" t="n"/>
      <c r="E356" s="81" t="n"/>
      <c r="F356" s="80" t="n"/>
      <c r="G356" s="82">
        <f>IF($A356="","",MONTH($A356))</f>
        <v/>
      </c>
      <c r="H356" s="83">
        <f>IF($A356="","",SUMPRODUCT(($B$5:$B356="Receita")*$E$5:$E356)-SUMPRODUCT((($B$5:$B356="Despesa")+($B$5:$B356="Investimento"))*$E$5:$E356))</f>
        <v/>
      </c>
    </row>
    <row r="357">
      <c r="A357" s="79" t="n"/>
      <c r="B357" s="80" t="n"/>
      <c r="C357" s="80" t="n"/>
      <c r="D357" s="80" t="n"/>
      <c r="E357" s="81" t="n"/>
      <c r="F357" s="80" t="n"/>
      <c r="G357" s="82">
        <f>IF($A357="","",MONTH($A357))</f>
        <v/>
      </c>
      <c r="H357" s="83">
        <f>IF($A357="","",SUMPRODUCT(($B$5:$B357="Receita")*$E$5:$E357)-SUMPRODUCT((($B$5:$B357="Despesa")+($B$5:$B357="Investimento"))*$E$5:$E357))</f>
        <v/>
      </c>
    </row>
    <row r="358">
      <c r="A358" s="79" t="n"/>
      <c r="B358" s="80" t="n"/>
      <c r="C358" s="80" t="n"/>
      <c r="D358" s="80" t="n"/>
      <c r="E358" s="81" t="n"/>
      <c r="F358" s="80" t="n"/>
      <c r="G358" s="82">
        <f>IF($A358="","",MONTH($A358))</f>
        <v/>
      </c>
      <c r="H358" s="83">
        <f>IF($A358="","",SUMPRODUCT(($B$5:$B358="Receita")*$E$5:$E358)-SUMPRODUCT((($B$5:$B358="Despesa")+($B$5:$B358="Investimento"))*$E$5:$E358))</f>
        <v/>
      </c>
    </row>
    <row r="359">
      <c r="A359" s="79" t="n"/>
      <c r="B359" s="80" t="n"/>
      <c r="C359" s="80" t="n"/>
      <c r="D359" s="80" t="n"/>
      <c r="E359" s="81" t="n"/>
      <c r="F359" s="80" t="n"/>
      <c r="G359" s="82">
        <f>IF($A359="","",MONTH($A359))</f>
        <v/>
      </c>
      <c r="H359" s="83">
        <f>IF($A359="","",SUMPRODUCT(($B$5:$B359="Receita")*$E$5:$E359)-SUMPRODUCT((($B$5:$B359="Despesa")+($B$5:$B359="Investimento"))*$E$5:$E359))</f>
        <v/>
      </c>
    </row>
    <row r="360">
      <c r="A360" s="79" t="n"/>
      <c r="B360" s="80" t="n"/>
      <c r="C360" s="80" t="n"/>
      <c r="D360" s="80" t="n"/>
      <c r="E360" s="81" t="n"/>
      <c r="F360" s="80" t="n"/>
      <c r="G360" s="82">
        <f>IF($A360="","",MONTH($A360))</f>
        <v/>
      </c>
      <c r="H360" s="83">
        <f>IF($A360="","",SUMPRODUCT(($B$5:$B360="Receita")*$E$5:$E360)-SUMPRODUCT((($B$5:$B360="Despesa")+($B$5:$B360="Investimento"))*$E$5:$E360))</f>
        <v/>
      </c>
    </row>
    <row r="361">
      <c r="A361" s="79" t="n"/>
      <c r="B361" s="80" t="n"/>
      <c r="C361" s="80" t="n"/>
      <c r="D361" s="80" t="n"/>
      <c r="E361" s="81" t="n"/>
      <c r="F361" s="80" t="n"/>
      <c r="G361" s="82">
        <f>IF($A361="","",MONTH($A361))</f>
        <v/>
      </c>
      <c r="H361" s="83">
        <f>IF($A361="","",SUMPRODUCT(($B$5:$B361="Receita")*$E$5:$E361)-SUMPRODUCT((($B$5:$B361="Despesa")+($B$5:$B361="Investimento"))*$E$5:$E361))</f>
        <v/>
      </c>
    </row>
    <row r="362">
      <c r="A362" s="79" t="n"/>
      <c r="B362" s="80" t="n"/>
      <c r="C362" s="80" t="n"/>
      <c r="D362" s="80" t="n"/>
      <c r="E362" s="81" t="n"/>
      <c r="F362" s="80" t="n"/>
      <c r="G362" s="82">
        <f>IF($A362="","",MONTH($A362))</f>
        <v/>
      </c>
      <c r="H362" s="83">
        <f>IF($A362="","",SUMPRODUCT(($B$5:$B362="Receita")*$E$5:$E362)-SUMPRODUCT((($B$5:$B362="Despesa")+($B$5:$B362="Investimento"))*$E$5:$E362))</f>
        <v/>
      </c>
    </row>
    <row r="363">
      <c r="A363" s="79" t="n"/>
      <c r="B363" s="80" t="n"/>
      <c r="C363" s="80" t="n"/>
      <c r="D363" s="80" t="n"/>
      <c r="E363" s="81" t="n"/>
      <c r="F363" s="80" t="n"/>
      <c r="G363" s="82">
        <f>IF($A363="","",MONTH($A363))</f>
        <v/>
      </c>
      <c r="H363" s="83">
        <f>IF($A363="","",SUMPRODUCT(($B$5:$B363="Receita")*$E$5:$E363)-SUMPRODUCT((($B$5:$B363="Despesa")+($B$5:$B363="Investimento"))*$E$5:$E363))</f>
        <v/>
      </c>
    </row>
    <row r="364">
      <c r="A364" s="79" t="n"/>
      <c r="B364" s="80" t="n"/>
      <c r="C364" s="80" t="n"/>
      <c r="D364" s="80" t="n"/>
      <c r="E364" s="81" t="n"/>
      <c r="F364" s="80" t="n"/>
      <c r="G364" s="82">
        <f>IF($A364="","",MONTH($A364))</f>
        <v/>
      </c>
      <c r="H364" s="83">
        <f>IF($A364="","",SUMPRODUCT(($B$5:$B364="Receita")*$E$5:$E364)-SUMPRODUCT((($B$5:$B364="Despesa")+($B$5:$B364="Investimento"))*$E$5:$E364))</f>
        <v/>
      </c>
    </row>
    <row r="365">
      <c r="A365" s="79" t="n"/>
      <c r="B365" s="80" t="n"/>
      <c r="C365" s="80" t="n"/>
      <c r="D365" s="80" t="n"/>
      <c r="E365" s="81" t="n"/>
      <c r="F365" s="80" t="n"/>
      <c r="G365" s="82">
        <f>IF($A365="","",MONTH($A365))</f>
        <v/>
      </c>
      <c r="H365" s="83">
        <f>IF($A365="","",SUMPRODUCT(($B$5:$B365="Receita")*$E$5:$E365)-SUMPRODUCT((($B$5:$B365="Despesa")+($B$5:$B365="Investimento"))*$E$5:$E365))</f>
        <v/>
      </c>
    </row>
    <row r="366">
      <c r="A366" s="79" t="n"/>
      <c r="B366" s="80" t="n"/>
      <c r="C366" s="80" t="n"/>
      <c r="D366" s="80" t="n"/>
      <c r="E366" s="81" t="n"/>
      <c r="F366" s="80" t="n"/>
      <c r="G366" s="82">
        <f>IF($A366="","",MONTH($A366))</f>
        <v/>
      </c>
      <c r="H366" s="83">
        <f>IF($A366="","",SUMPRODUCT(($B$5:$B366="Receita")*$E$5:$E366)-SUMPRODUCT((($B$5:$B366="Despesa")+($B$5:$B366="Investimento"))*$E$5:$E366))</f>
        <v/>
      </c>
    </row>
    <row r="367">
      <c r="A367" s="79" t="n"/>
      <c r="B367" s="80" t="n"/>
      <c r="C367" s="80" t="n"/>
      <c r="D367" s="80" t="n"/>
      <c r="E367" s="81" t="n"/>
      <c r="F367" s="80" t="n"/>
      <c r="G367" s="82">
        <f>IF($A367="","",MONTH($A367))</f>
        <v/>
      </c>
      <c r="H367" s="83">
        <f>IF($A367="","",SUMPRODUCT(($B$5:$B367="Receita")*$E$5:$E367)-SUMPRODUCT((($B$5:$B367="Despesa")+($B$5:$B367="Investimento"))*$E$5:$E367))</f>
        <v/>
      </c>
    </row>
    <row r="368">
      <c r="A368" s="79" t="n"/>
      <c r="B368" s="80" t="n"/>
      <c r="C368" s="80" t="n"/>
      <c r="D368" s="80" t="n"/>
      <c r="E368" s="81" t="n"/>
      <c r="F368" s="80" t="n"/>
      <c r="G368" s="82">
        <f>IF($A368="","",MONTH($A368))</f>
        <v/>
      </c>
      <c r="H368" s="83">
        <f>IF($A368="","",SUMPRODUCT(($B$5:$B368="Receita")*$E$5:$E368)-SUMPRODUCT((($B$5:$B368="Despesa")+($B$5:$B368="Investimento"))*$E$5:$E368))</f>
        <v/>
      </c>
    </row>
    <row r="369">
      <c r="A369" s="79" t="n"/>
      <c r="B369" s="80" t="n"/>
      <c r="C369" s="80" t="n"/>
      <c r="D369" s="80" t="n"/>
      <c r="E369" s="81" t="n"/>
      <c r="F369" s="80" t="n"/>
      <c r="G369" s="82">
        <f>IF($A369="","",MONTH($A369))</f>
        <v/>
      </c>
      <c r="H369" s="83">
        <f>IF($A369="","",SUMPRODUCT(($B$5:$B369="Receita")*$E$5:$E369)-SUMPRODUCT((($B$5:$B369="Despesa")+($B$5:$B369="Investimento"))*$E$5:$E369))</f>
        <v/>
      </c>
    </row>
    <row r="370">
      <c r="A370" s="79" t="n"/>
      <c r="B370" s="80" t="n"/>
      <c r="C370" s="80" t="n"/>
      <c r="D370" s="80" t="n"/>
      <c r="E370" s="81" t="n"/>
      <c r="F370" s="80" t="n"/>
      <c r="G370" s="82">
        <f>IF($A370="","",MONTH($A370))</f>
        <v/>
      </c>
      <c r="H370" s="83">
        <f>IF($A370="","",SUMPRODUCT(($B$5:$B370="Receita")*$E$5:$E370)-SUMPRODUCT((($B$5:$B370="Despesa")+($B$5:$B370="Investimento"))*$E$5:$E370))</f>
        <v/>
      </c>
    </row>
    <row r="371">
      <c r="A371" s="79" t="n"/>
      <c r="B371" s="80" t="n"/>
      <c r="C371" s="80" t="n"/>
      <c r="D371" s="80" t="n"/>
      <c r="E371" s="81" t="n"/>
      <c r="F371" s="80" t="n"/>
      <c r="G371" s="82">
        <f>IF($A371="","",MONTH($A371))</f>
        <v/>
      </c>
      <c r="H371" s="83">
        <f>IF($A371="","",SUMPRODUCT(($B$5:$B371="Receita")*$E$5:$E371)-SUMPRODUCT((($B$5:$B371="Despesa")+($B$5:$B371="Investimento"))*$E$5:$E371))</f>
        <v/>
      </c>
    </row>
    <row r="372">
      <c r="A372" s="79" t="n"/>
      <c r="B372" s="80" t="n"/>
      <c r="C372" s="80" t="n"/>
      <c r="D372" s="80" t="n"/>
      <c r="E372" s="81" t="n"/>
      <c r="F372" s="80" t="n"/>
      <c r="G372" s="82">
        <f>IF($A372="","",MONTH($A372))</f>
        <v/>
      </c>
      <c r="H372" s="83">
        <f>IF($A372="","",SUMPRODUCT(($B$5:$B372="Receita")*$E$5:$E372)-SUMPRODUCT((($B$5:$B372="Despesa")+($B$5:$B372="Investimento"))*$E$5:$E372))</f>
        <v/>
      </c>
    </row>
    <row r="373">
      <c r="A373" s="79" t="n"/>
      <c r="B373" s="80" t="n"/>
      <c r="C373" s="80" t="n"/>
      <c r="D373" s="80" t="n"/>
      <c r="E373" s="81" t="n"/>
      <c r="F373" s="80" t="n"/>
      <c r="G373" s="82">
        <f>IF($A373="","",MONTH($A373))</f>
        <v/>
      </c>
      <c r="H373" s="83">
        <f>IF($A373="","",SUMPRODUCT(($B$5:$B373="Receita")*$E$5:$E373)-SUMPRODUCT((($B$5:$B373="Despesa")+($B$5:$B373="Investimento"))*$E$5:$E373))</f>
        <v/>
      </c>
    </row>
    <row r="374">
      <c r="A374" s="79" t="n"/>
      <c r="B374" s="80" t="n"/>
      <c r="C374" s="80" t="n"/>
      <c r="D374" s="80" t="n"/>
      <c r="E374" s="81" t="n"/>
      <c r="F374" s="80" t="n"/>
      <c r="G374" s="82">
        <f>IF($A374="","",MONTH($A374))</f>
        <v/>
      </c>
      <c r="H374" s="83">
        <f>IF($A374="","",SUMPRODUCT(($B$5:$B374="Receita")*$E$5:$E374)-SUMPRODUCT((($B$5:$B374="Despesa")+($B$5:$B374="Investimento"))*$E$5:$E374))</f>
        <v/>
      </c>
    </row>
    <row r="375">
      <c r="A375" s="79" t="n"/>
      <c r="B375" s="80" t="n"/>
      <c r="C375" s="80" t="n"/>
      <c r="D375" s="80" t="n"/>
      <c r="E375" s="81" t="n"/>
      <c r="F375" s="80" t="n"/>
      <c r="G375" s="82">
        <f>IF($A375="","",MONTH($A375))</f>
        <v/>
      </c>
      <c r="H375" s="83">
        <f>IF($A375="","",SUMPRODUCT(($B$5:$B375="Receita")*$E$5:$E375)-SUMPRODUCT((($B$5:$B375="Despesa")+($B$5:$B375="Investimento"))*$E$5:$E375))</f>
        <v/>
      </c>
    </row>
    <row r="376">
      <c r="A376" s="79" t="n"/>
      <c r="B376" s="80" t="n"/>
      <c r="C376" s="80" t="n"/>
      <c r="D376" s="80" t="n"/>
      <c r="E376" s="81" t="n"/>
      <c r="F376" s="80" t="n"/>
      <c r="G376" s="82">
        <f>IF($A376="","",MONTH($A376))</f>
        <v/>
      </c>
      <c r="H376" s="83">
        <f>IF($A376="","",SUMPRODUCT(($B$5:$B376="Receita")*$E$5:$E376)-SUMPRODUCT((($B$5:$B376="Despesa")+($B$5:$B376="Investimento"))*$E$5:$E376))</f>
        <v/>
      </c>
    </row>
    <row r="377">
      <c r="A377" s="79" t="n"/>
      <c r="B377" s="80" t="n"/>
      <c r="C377" s="80" t="n"/>
      <c r="D377" s="80" t="n"/>
      <c r="E377" s="81" t="n"/>
      <c r="F377" s="80" t="n"/>
      <c r="G377" s="82">
        <f>IF($A377="","",MONTH($A377))</f>
        <v/>
      </c>
      <c r="H377" s="83">
        <f>IF($A377="","",SUMPRODUCT(($B$5:$B377="Receita")*$E$5:$E377)-SUMPRODUCT((($B$5:$B377="Despesa")+($B$5:$B377="Investimento"))*$E$5:$E377))</f>
        <v/>
      </c>
    </row>
    <row r="378">
      <c r="A378" s="79" t="n"/>
      <c r="B378" s="80" t="n"/>
      <c r="C378" s="80" t="n"/>
      <c r="D378" s="80" t="n"/>
      <c r="E378" s="81" t="n"/>
      <c r="F378" s="80" t="n"/>
      <c r="G378" s="82">
        <f>IF($A378="","",MONTH($A378))</f>
        <v/>
      </c>
      <c r="H378" s="83">
        <f>IF($A378="","",SUMPRODUCT(($B$5:$B378="Receita")*$E$5:$E378)-SUMPRODUCT((($B$5:$B378="Despesa")+($B$5:$B378="Investimento"))*$E$5:$E378))</f>
        <v/>
      </c>
    </row>
    <row r="379">
      <c r="A379" s="79" t="n"/>
      <c r="B379" s="80" t="n"/>
      <c r="C379" s="80" t="n"/>
      <c r="D379" s="80" t="n"/>
      <c r="E379" s="81" t="n"/>
      <c r="F379" s="80" t="n"/>
      <c r="G379" s="82">
        <f>IF($A379="","",MONTH($A379))</f>
        <v/>
      </c>
      <c r="H379" s="83">
        <f>IF($A379="","",SUMPRODUCT(($B$5:$B379="Receita")*$E$5:$E379)-SUMPRODUCT((($B$5:$B379="Despesa")+($B$5:$B379="Investimento"))*$E$5:$E379))</f>
        <v/>
      </c>
    </row>
    <row r="380">
      <c r="A380" s="79" t="n"/>
      <c r="B380" s="80" t="n"/>
      <c r="C380" s="80" t="n"/>
      <c r="D380" s="80" t="n"/>
      <c r="E380" s="81" t="n"/>
      <c r="F380" s="80" t="n"/>
      <c r="G380" s="82">
        <f>IF($A380="","",MONTH($A380))</f>
        <v/>
      </c>
      <c r="H380" s="83">
        <f>IF($A380="","",SUMPRODUCT(($B$5:$B380="Receita")*$E$5:$E380)-SUMPRODUCT((($B$5:$B380="Despesa")+($B$5:$B380="Investimento"))*$E$5:$E380))</f>
        <v/>
      </c>
    </row>
    <row r="381">
      <c r="A381" s="79" t="n"/>
      <c r="B381" s="80" t="n"/>
      <c r="C381" s="80" t="n"/>
      <c r="D381" s="80" t="n"/>
      <c r="E381" s="81" t="n"/>
      <c r="F381" s="80" t="n"/>
      <c r="G381" s="82">
        <f>IF($A381="","",MONTH($A381))</f>
        <v/>
      </c>
      <c r="H381" s="83">
        <f>IF($A381="","",SUMPRODUCT(($B$5:$B381="Receita")*$E$5:$E381)-SUMPRODUCT((($B$5:$B381="Despesa")+($B$5:$B381="Investimento"))*$E$5:$E381))</f>
        <v/>
      </c>
    </row>
    <row r="382">
      <c r="A382" s="79" t="n"/>
      <c r="B382" s="80" t="n"/>
      <c r="C382" s="80" t="n"/>
      <c r="D382" s="80" t="n"/>
      <c r="E382" s="81" t="n"/>
      <c r="F382" s="80" t="n"/>
      <c r="G382" s="82">
        <f>IF($A382="","",MONTH($A382))</f>
        <v/>
      </c>
      <c r="H382" s="83">
        <f>IF($A382="","",SUMPRODUCT(($B$5:$B382="Receita")*$E$5:$E382)-SUMPRODUCT((($B$5:$B382="Despesa")+($B$5:$B382="Investimento"))*$E$5:$E382))</f>
        <v/>
      </c>
    </row>
    <row r="383">
      <c r="A383" s="79" t="n"/>
      <c r="B383" s="80" t="n"/>
      <c r="C383" s="80" t="n"/>
      <c r="D383" s="80" t="n"/>
      <c r="E383" s="81" t="n"/>
      <c r="F383" s="80" t="n"/>
      <c r="G383" s="82">
        <f>IF($A383="","",MONTH($A383))</f>
        <v/>
      </c>
      <c r="H383" s="83">
        <f>IF($A383="","",SUMPRODUCT(($B$5:$B383="Receita")*$E$5:$E383)-SUMPRODUCT((($B$5:$B383="Despesa")+($B$5:$B383="Investimento"))*$E$5:$E383))</f>
        <v/>
      </c>
    </row>
    <row r="384">
      <c r="A384" s="79" t="n"/>
      <c r="B384" s="80" t="n"/>
      <c r="C384" s="80" t="n"/>
      <c r="D384" s="80" t="n"/>
      <c r="E384" s="81" t="n"/>
      <c r="F384" s="80" t="n"/>
      <c r="G384" s="82">
        <f>IF($A384="","",MONTH($A384))</f>
        <v/>
      </c>
      <c r="H384" s="83">
        <f>IF($A384="","",SUMPRODUCT(($B$5:$B384="Receita")*$E$5:$E384)-SUMPRODUCT((($B$5:$B384="Despesa")+($B$5:$B384="Investimento"))*$E$5:$E384))</f>
        <v/>
      </c>
    </row>
    <row r="385">
      <c r="A385" s="79" t="n"/>
      <c r="B385" s="80" t="n"/>
      <c r="C385" s="80" t="n"/>
      <c r="D385" s="80" t="n"/>
      <c r="E385" s="81" t="n"/>
      <c r="F385" s="80" t="n"/>
      <c r="G385" s="82">
        <f>IF($A385="","",MONTH($A385))</f>
        <v/>
      </c>
      <c r="H385" s="83">
        <f>IF($A385="","",SUMPRODUCT(($B$5:$B385="Receita")*$E$5:$E385)-SUMPRODUCT((($B$5:$B385="Despesa")+($B$5:$B385="Investimento"))*$E$5:$E385))</f>
        <v/>
      </c>
    </row>
    <row r="386">
      <c r="A386" s="79" t="n"/>
      <c r="B386" s="80" t="n"/>
      <c r="C386" s="80" t="n"/>
      <c r="D386" s="80" t="n"/>
      <c r="E386" s="81" t="n"/>
      <c r="F386" s="80" t="n"/>
      <c r="G386" s="82">
        <f>IF($A386="","",MONTH($A386))</f>
        <v/>
      </c>
      <c r="H386" s="83">
        <f>IF($A386="","",SUMPRODUCT(($B$5:$B386="Receita")*$E$5:$E386)-SUMPRODUCT((($B$5:$B386="Despesa")+($B$5:$B386="Investimento"))*$E$5:$E386))</f>
        <v/>
      </c>
    </row>
    <row r="387">
      <c r="A387" s="79" t="n"/>
      <c r="B387" s="80" t="n"/>
      <c r="C387" s="80" t="n"/>
      <c r="D387" s="80" t="n"/>
      <c r="E387" s="81" t="n"/>
      <c r="F387" s="80" t="n"/>
      <c r="G387" s="82">
        <f>IF($A387="","",MONTH($A387))</f>
        <v/>
      </c>
      <c r="H387" s="83">
        <f>IF($A387="","",SUMPRODUCT(($B$5:$B387="Receita")*$E$5:$E387)-SUMPRODUCT((($B$5:$B387="Despesa")+($B$5:$B387="Investimento"))*$E$5:$E387))</f>
        <v/>
      </c>
    </row>
    <row r="388">
      <c r="A388" s="79" t="n"/>
      <c r="B388" s="80" t="n"/>
      <c r="C388" s="80" t="n"/>
      <c r="D388" s="80" t="n"/>
      <c r="E388" s="81" t="n"/>
      <c r="F388" s="80" t="n"/>
      <c r="G388" s="82">
        <f>IF($A388="","",MONTH($A388))</f>
        <v/>
      </c>
      <c r="H388" s="83">
        <f>IF($A388="","",SUMPRODUCT(($B$5:$B388="Receita")*$E$5:$E388)-SUMPRODUCT((($B$5:$B388="Despesa")+($B$5:$B388="Investimento"))*$E$5:$E388))</f>
        <v/>
      </c>
    </row>
    <row r="389">
      <c r="A389" s="79" t="n"/>
      <c r="B389" s="80" t="n"/>
      <c r="C389" s="80" t="n"/>
      <c r="D389" s="80" t="n"/>
      <c r="E389" s="81" t="n"/>
      <c r="F389" s="80" t="n"/>
      <c r="G389" s="82">
        <f>IF($A389="","",MONTH($A389))</f>
        <v/>
      </c>
      <c r="H389" s="83">
        <f>IF($A389="","",SUMPRODUCT(($B$5:$B389="Receita")*$E$5:$E389)-SUMPRODUCT((($B$5:$B389="Despesa")+($B$5:$B389="Investimento"))*$E$5:$E389))</f>
        <v/>
      </c>
    </row>
    <row r="390">
      <c r="A390" s="79" t="n"/>
      <c r="B390" s="80" t="n"/>
      <c r="C390" s="80" t="n"/>
      <c r="D390" s="80" t="n"/>
      <c r="E390" s="81" t="n"/>
      <c r="F390" s="80" t="n"/>
      <c r="G390" s="82">
        <f>IF($A390="","",MONTH($A390))</f>
        <v/>
      </c>
      <c r="H390" s="83">
        <f>IF($A390="","",SUMPRODUCT(($B$5:$B390="Receita")*$E$5:$E390)-SUMPRODUCT((($B$5:$B390="Despesa")+($B$5:$B390="Investimento"))*$E$5:$E390))</f>
        <v/>
      </c>
    </row>
    <row r="391">
      <c r="A391" s="79" t="n"/>
      <c r="B391" s="80" t="n"/>
      <c r="C391" s="80" t="n"/>
      <c r="D391" s="80" t="n"/>
      <c r="E391" s="81" t="n"/>
      <c r="F391" s="80" t="n"/>
      <c r="G391" s="82">
        <f>IF($A391="","",MONTH($A391))</f>
        <v/>
      </c>
      <c r="H391" s="83">
        <f>IF($A391="","",SUMPRODUCT(($B$5:$B391="Receita")*$E$5:$E391)-SUMPRODUCT((($B$5:$B391="Despesa")+($B$5:$B391="Investimento"))*$E$5:$E391))</f>
        <v/>
      </c>
    </row>
    <row r="392">
      <c r="A392" s="79" t="n"/>
      <c r="B392" s="80" t="n"/>
      <c r="C392" s="80" t="n"/>
      <c r="D392" s="80" t="n"/>
      <c r="E392" s="81" t="n"/>
      <c r="F392" s="80" t="n"/>
      <c r="G392" s="82">
        <f>IF($A392="","",MONTH($A392))</f>
        <v/>
      </c>
      <c r="H392" s="83">
        <f>IF($A392="","",SUMPRODUCT(($B$5:$B392="Receita")*$E$5:$E392)-SUMPRODUCT((($B$5:$B392="Despesa")+($B$5:$B392="Investimento"))*$E$5:$E392))</f>
        <v/>
      </c>
    </row>
    <row r="393">
      <c r="A393" s="79" t="n"/>
      <c r="B393" s="80" t="n"/>
      <c r="C393" s="80" t="n"/>
      <c r="D393" s="80" t="n"/>
      <c r="E393" s="81" t="n"/>
      <c r="F393" s="80" t="n"/>
      <c r="G393" s="82">
        <f>IF($A393="","",MONTH($A393))</f>
        <v/>
      </c>
      <c r="H393" s="83">
        <f>IF($A393="","",SUMPRODUCT(($B$5:$B393="Receita")*$E$5:$E393)-SUMPRODUCT((($B$5:$B393="Despesa")+($B$5:$B393="Investimento"))*$E$5:$E393))</f>
        <v/>
      </c>
    </row>
    <row r="394">
      <c r="A394" s="79" t="n"/>
      <c r="B394" s="80" t="n"/>
      <c r="C394" s="80" t="n"/>
      <c r="D394" s="80" t="n"/>
      <c r="E394" s="81" t="n"/>
      <c r="F394" s="80" t="n"/>
      <c r="G394" s="82">
        <f>IF($A394="","",MONTH($A394))</f>
        <v/>
      </c>
      <c r="H394" s="83">
        <f>IF($A394="","",SUMPRODUCT(($B$5:$B394="Receita")*$E$5:$E394)-SUMPRODUCT((($B$5:$B394="Despesa")+($B$5:$B394="Investimento"))*$E$5:$E394))</f>
        <v/>
      </c>
    </row>
    <row r="395">
      <c r="A395" s="79" t="n"/>
      <c r="B395" s="80" t="n"/>
      <c r="C395" s="80" t="n"/>
      <c r="D395" s="80" t="n"/>
      <c r="E395" s="81" t="n"/>
      <c r="F395" s="80" t="n"/>
      <c r="G395" s="82">
        <f>IF($A395="","",MONTH($A395))</f>
        <v/>
      </c>
      <c r="H395" s="83">
        <f>IF($A395="","",SUMPRODUCT(($B$5:$B395="Receita")*$E$5:$E395)-SUMPRODUCT((($B$5:$B395="Despesa")+($B$5:$B395="Investimento"))*$E$5:$E395))</f>
        <v/>
      </c>
    </row>
    <row r="396">
      <c r="A396" s="79" t="n"/>
      <c r="B396" s="80" t="n"/>
      <c r="C396" s="80" t="n"/>
      <c r="D396" s="80" t="n"/>
      <c r="E396" s="81" t="n"/>
      <c r="F396" s="80" t="n"/>
      <c r="G396" s="82">
        <f>IF($A396="","",MONTH($A396))</f>
        <v/>
      </c>
      <c r="H396" s="83">
        <f>IF($A396="","",SUMPRODUCT(($B$5:$B396="Receita")*$E$5:$E396)-SUMPRODUCT((($B$5:$B396="Despesa")+($B$5:$B396="Investimento"))*$E$5:$E396))</f>
        <v/>
      </c>
    </row>
    <row r="397">
      <c r="A397" s="79" t="n"/>
      <c r="B397" s="80" t="n"/>
      <c r="C397" s="80" t="n"/>
      <c r="D397" s="80" t="n"/>
      <c r="E397" s="81" t="n"/>
      <c r="F397" s="80" t="n"/>
      <c r="G397" s="82">
        <f>IF($A397="","",MONTH($A397))</f>
        <v/>
      </c>
      <c r="H397" s="83">
        <f>IF($A397="","",SUMPRODUCT(($B$5:$B397="Receita")*$E$5:$E397)-SUMPRODUCT((($B$5:$B397="Despesa")+($B$5:$B397="Investimento"))*$E$5:$E397))</f>
        <v/>
      </c>
    </row>
    <row r="398">
      <c r="A398" s="79" t="n"/>
      <c r="B398" s="80" t="n"/>
      <c r="C398" s="80" t="n"/>
      <c r="D398" s="80" t="n"/>
      <c r="E398" s="81" t="n"/>
      <c r="F398" s="80" t="n"/>
      <c r="G398" s="82">
        <f>IF($A398="","",MONTH($A398))</f>
        <v/>
      </c>
      <c r="H398" s="83">
        <f>IF($A398="","",SUMPRODUCT(($B$5:$B398="Receita")*$E$5:$E398)-SUMPRODUCT((($B$5:$B398="Despesa")+($B$5:$B398="Investimento"))*$E$5:$E398))</f>
        <v/>
      </c>
    </row>
    <row r="399">
      <c r="A399" s="79" t="n"/>
      <c r="B399" s="80" t="n"/>
      <c r="C399" s="80" t="n"/>
      <c r="D399" s="80" t="n"/>
      <c r="E399" s="81" t="n"/>
      <c r="F399" s="80" t="n"/>
      <c r="G399" s="82">
        <f>IF($A399="","",MONTH($A399))</f>
        <v/>
      </c>
      <c r="H399" s="83">
        <f>IF($A399="","",SUMPRODUCT(($B$5:$B399="Receita")*$E$5:$E399)-SUMPRODUCT((($B$5:$B399="Despesa")+($B$5:$B399="Investimento"))*$E$5:$E399))</f>
        <v/>
      </c>
    </row>
    <row r="400">
      <c r="A400" s="79" t="n"/>
      <c r="B400" s="80" t="n"/>
      <c r="C400" s="80" t="n"/>
      <c r="D400" s="80" t="n"/>
      <c r="E400" s="81" t="n"/>
      <c r="F400" s="80" t="n"/>
      <c r="G400" s="82">
        <f>IF($A400="","",MONTH($A400))</f>
        <v/>
      </c>
      <c r="H400" s="83">
        <f>IF($A400="","",SUMPRODUCT(($B$5:$B400="Receita")*$E$5:$E400)-SUMPRODUCT((($B$5:$B400="Despesa")+($B$5:$B400="Investimento"))*$E$5:$E400))</f>
        <v/>
      </c>
    </row>
    <row r="401">
      <c r="A401" s="79" t="n"/>
      <c r="B401" s="80" t="n"/>
      <c r="C401" s="80" t="n"/>
      <c r="D401" s="80" t="n"/>
      <c r="E401" s="81" t="n"/>
      <c r="F401" s="80" t="n"/>
      <c r="G401" s="82">
        <f>IF($A401="","",MONTH($A401))</f>
        <v/>
      </c>
      <c r="H401" s="83">
        <f>IF($A401="","",SUMPRODUCT(($B$5:$B401="Receita")*$E$5:$E401)-SUMPRODUCT((($B$5:$B401="Despesa")+($B$5:$B401="Investimento"))*$E$5:$E401))</f>
        <v/>
      </c>
    </row>
    <row r="402">
      <c r="A402" s="79" t="n"/>
      <c r="B402" s="80" t="n"/>
      <c r="C402" s="80" t="n"/>
      <c r="D402" s="80" t="n"/>
      <c r="E402" s="81" t="n"/>
      <c r="F402" s="80" t="n"/>
      <c r="G402" s="82">
        <f>IF($A402="","",MONTH($A402))</f>
        <v/>
      </c>
      <c r="H402" s="83">
        <f>IF($A402="","",SUMPRODUCT(($B$5:$B402="Receita")*$E$5:$E402)-SUMPRODUCT((($B$5:$B402="Despesa")+($B$5:$B402="Investimento"))*$E$5:$E402))</f>
        <v/>
      </c>
    </row>
    <row r="403">
      <c r="A403" s="79" t="n"/>
      <c r="B403" s="80" t="n"/>
      <c r="C403" s="80" t="n"/>
      <c r="D403" s="80" t="n"/>
      <c r="E403" s="81" t="n"/>
      <c r="F403" s="80" t="n"/>
      <c r="G403" s="82">
        <f>IF($A403="","",MONTH($A403))</f>
        <v/>
      </c>
      <c r="H403" s="83">
        <f>IF($A403="","",SUMPRODUCT(($B$5:$B403="Receita")*$E$5:$E403)-SUMPRODUCT((($B$5:$B403="Despesa")+($B$5:$B403="Investimento"))*$E$5:$E403))</f>
        <v/>
      </c>
    </row>
    <row r="404">
      <c r="A404" s="79" t="n"/>
      <c r="B404" s="80" t="n"/>
      <c r="C404" s="80" t="n"/>
      <c r="D404" s="80" t="n"/>
      <c r="E404" s="81" t="n"/>
      <c r="F404" s="80" t="n"/>
      <c r="G404" s="82">
        <f>IF($A404="","",MONTH($A404))</f>
        <v/>
      </c>
      <c r="H404" s="83">
        <f>IF($A404="","",SUMPRODUCT(($B$5:$B404="Receita")*$E$5:$E404)-SUMPRODUCT((($B$5:$B404="Despesa")+($B$5:$B404="Investimento"))*$E$5:$E404))</f>
        <v/>
      </c>
    </row>
    <row r="405">
      <c r="A405" s="79" t="n"/>
      <c r="B405" s="80" t="n"/>
      <c r="C405" s="80" t="n"/>
      <c r="D405" s="80" t="n"/>
      <c r="E405" s="81" t="n"/>
      <c r="F405" s="80" t="n"/>
      <c r="G405" s="82">
        <f>IF($A405="","",MONTH($A405))</f>
        <v/>
      </c>
      <c r="H405" s="83">
        <f>IF($A405="","",SUMPRODUCT(($B$5:$B405="Receita")*$E$5:$E405)-SUMPRODUCT((($B$5:$B405="Despesa")+($B$5:$B405="Investimento"))*$E$5:$E405))</f>
        <v/>
      </c>
    </row>
    <row r="406">
      <c r="A406" s="79" t="n"/>
      <c r="B406" s="80" t="n"/>
      <c r="C406" s="80" t="n"/>
      <c r="D406" s="80" t="n"/>
      <c r="E406" s="81" t="n"/>
      <c r="F406" s="80" t="n"/>
      <c r="G406" s="82">
        <f>IF($A406="","",MONTH($A406))</f>
        <v/>
      </c>
      <c r="H406" s="83">
        <f>IF($A406="","",SUMPRODUCT(($B$5:$B406="Receita")*$E$5:$E406)-SUMPRODUCT((($B$5:$B406="Despesa")+($B$5:$B406="Investimento"))*$E$5:$E406))</f>
        <v/>
      </c>
    </row>
    <row r="407">
      <c r="A407" s="79" t="n"/>
      <c r="B407" s="80" t="n"/>
      <c r="C407" s="80" t="n"/>
      <c r="D407" s="80" t="n"/>
      <c r="E407" s="81" t="n"/>
      <c r="F407" s="80" t="n"/>
      <c r="G407" s="82">
        <f>IF($A407="","",MONTH($A407))</f>
        <v/>
      </c>
      <c r="H407" s="83">
        <f>IF($A407="","",SUMPRODUCT(($B$5:$B407="Receita")*$E$5:$E407)-SUMPRODUCT((($B$5:$B407="Despesa")+($B$5:$B407="Investimento"))*$E$5:$E407))</f>
        <v/>
      </c>
    </row>
    <row r="408">
      <c r="A408" s="79" t="n"/>
      <c r="B408" s="80" t="n"/>
      <c r="C408" s="80" t="n"/>
      <c r="D408" s="80" t="n"/>
      <c r="E408" s="81" t="n"/>
      <c r="F408" s="80" t="n"/>
      <c r="G408" s="82">
        <f>IF($A408="","",MONTH($A408))</f>
        <v/>
      </c>
      <c r="H408" s="83">
        <f>IF($A408="","",SUMPRODUCT(($B$5:$B408="Receita")*$E$5:$E408)-SUMPRODUCT((($B$5:$B408="Despesa")+($B$5:$B408="Investimento"))*$E$5:$E408))</f>
        <v/>
      </c>
    </row>
    <row r="409">
      <c r="A409" s="79" t="n"/>
      <c r="B409" s="80" t="n"/>
      <c r="C409" s="80" t="n"/>
      <c r="D409" s="80" t="n"/>
      <c r="E409" s="81" t="n"/>
      <c r="F409" s="80" t="n"/>
      <c r="G409" s="82">
        <f>IF($A409="","",MONTH($A409))</f>
        <v/>
      </c>
      <c r="H409" s="83">
        <f>IF($A409="","",SUMPRODUCT(($B$5:$B409="Receita")*$E$5:$E409)-SUMPRODUCT((($B$5:$B409="Despesa")+($B$5:$B409="Investimento"))*$E$5:$E409))</f>
        <v/>
      </c>
    </row>
    <row r="410">
      <c r="A410" s="79" t="n"/>
      <c r="B410" s="80" t="n"/>
      <c r="C410" s="80" t="n"/>
      <c r="D410" s="80" t="n"/>
      <c r="E410" s="81" t="n"/>
      <c r="F410" s="80" t="n"/>
      <c r="G410" s="82">
        <f>IF($A410="","",MONTH($A410))</f>
        <v/>
      </c>
      <c r="H410" s="83">
        <f>IF($A410="","",SUMPRODUCT(($B$5:$B410="Receita")*$E$5:$E410)-SUMPRODUCT((($B$5:$B410="Despesa")+($B$5:$B410="Investimento"))*$E$5:$E410))</f>
        <v/>
      </c>
    </row>
    <row r="411">
      <c r="A411" s="79" t="n"/>
      <c r="B411" s="80" t="n"/>
      <c r="C411" s="80" t="n"/>
      <c r="D411" s="80" t="n"/>
      <c r="E411" s="81" t="n"/>
      <c r="F411" s="80" t="n"/>
      <c r="G411" s="82">
        <f>IF($A411="","",MONTH($A411))</f>
        <v/>
      </c>
      <c r="H411" s="83">
        <f>IF($A411="","",SUMPRODUCT(($B$5:$B411="Receita")*$E$5:$E411)-SUMPRODUCT((($B$5:$B411="Despesa")+($B$5:$B411="Investimento"))*$E$5:$E411))</f>
        <v/>
      </c>
    </row>
    <row r="412">
      <c r="A412" s="79" t="n"/>
      <c r="B412" s="80" t="n"/>
      <c r="C412" s="80" t="n"/>
      <c r="D412" s="80" t="n"/>
      <c r="E412" s="81" t="n"/>
      <c r="F412" s="80" t="n"/>
      <c r="G412" s="82">
        <f>IF($A412="","",MONTH($A412))</f>
        <v/>
      </c>
      <c r="H412" s="83">
        <f>IF($A412="","",SUMPRODUCT(($B$5:$B412="Receita")*$E$5:$E412)-SUMPRODUCT((($B$5:$B412="Despesa")+($B$5:$B412="Investimento"))*$E$5:$E412))</f>
        <v/>
      </c>
    </row>
    <row r="413">
      <c r="A413" s="79" t="n"/>
      <c r="B413" s="80" t="n"/>
      <c r="C413" s="80" t="n"/>
      <c r="D413" s="80" t="n"/>
      <c r="E413" s="81" t="n"/>
      <c r="F413" s="80" t="n"/>
      <c r="G413" s="82">
        <f>IF($A413="","",MONTH($A413))</f>
        <v/>
      </c>
      <c r="H413" s="83">
        <f>IF($A413="","",SUMPRODUCT(($B$5:$B413="Receita")*$E$5:$E413)-SUMPRODUCT((($B$5:$B413="Despesa")+($B$5:$B413="Investimento"))*$E$5:$E413))</f>
        <v/>
      </c>
    </row>
    <row r="414">
      <c r="A414" s="79" t="n"/>
      <c r="B414" s="80" t="n"/>
      <c r="C414" s="80" t="n"/>
      <c r="D414" s="80" t="n"/>
      <c r="E414" s="81" t="n"/>
      <c r="F414" s="80" t="n"/>
      <c r="G414" s="82">
        <f>IF($A414="","",MONTH($A414))</f>
        <v/>
      </c>
      <c r="H414" s="83">
        <f>IF($A414="","",SUMPRODUCT(($B$5:$B414="Receita")*$E$5:$E414)-SUMPRODUCT((($B$5:$B414="Despesa")+($B$5:$B414="Investimento"))*$E$5:$E414))</f>
        <v/>
      </c>
    </row>
    <row r="415">
      <c r="A415" s="79" t="n"/>
      <c r="B415" s="80" t="n"/>
      <c r="C415" s="80" t="n"/>
      <c r="D415" s="80" t="n"/>
      <c r="E415" s="81" t="n"/>
      <c r="F415" s="80" t="n"/>
      <c r="G415" s="82">
        <f>IF($A415="","",MONTH($A415))</f>
        <v/>
      </c>
      <c r="H415" s="83">
        <f>IF($A415="","",SUMPRODUCT(($B$5:$B415="Receita")*$E$5:$E415)-SUMPRODUCT((($B$5:$B415="Despesa")+($B$5:$B415="Investimento"))*$E$5:$E415))</f>
        <v/>
      </c>
    </row>
    <row r="416">
      <c r="A416" s="79" t="n"/>
      <c r="B416" s="80" t="n"/>
      <c r="C416" s="80" t="n"/>
      <c r="D416" s="80" t="n"/>
      <c r="E416" s="81" t="n"/>
      <c r="F416" s="80" t="n"/>
      <c r="G416" s="82">
        <f>IF($A416="","",MONTH($A416))</f>
        <v/>
      </c>
      <c r="H416" s="83">
        <f>IF($A416="","",SUMPRODUCT(($B$5:$B416="Receita")*$E$5:$E416)-SUMPRODUCT((($B$5:$B416="Despesa")+($B$5:$B416="Investimento"))*$E$5:$E416))</f>
        <v/>
      </c>
    </row>
    <row r="417">
      <c r="A417" s="79" t="n"/>
      <c r="B417" s="80" t="n"/>
      <c r="C417" s="80" t="n"/>
      <c r="D417" s="80" t="n"/>
      <c r="E417" s="81" t="n"/>
      <c r="F417" s="80" t="n"/>
      <c r="G417" s="82">
        <f>IF($A417="","",MONTH($A417))</f>
        <v/>
      </c>
      <c r="H417" s="83">
        <f>IF($A417="","",SUMPRODUCT(($B$5:$B417="Receita")*$E$5:$E417)-SUMPRODUCT((($B$5:$B417="Despesa")+($B$5:$B417="Investimento"))*$E$5:$E417))</f>
        <v/>
      </c>
    </row>
    <row r="418">
      <c r="A418" s="79" t="n"/>
      <c r="B418" s="80" t="n"/>
      <c r="C418" s="80" t="n"/>
      <c r="D418" s="80" t="n"/>
      <c r="E418" s="81" t="n"/>
      <c r="F418" s="80" t="n"/>
      <c r="G418" s="82">
        <f>IF($A418="","",MONTH($A418))</f>
        <v/>
      </c>
      <c r="H418" s="83">
        <f>IF($A418="","",SUMPRODUCT(($B$5:$B418="Receita")*$E$5:$E418)-SUMPRODUCT((($B$5:$B418="Despesa")+($B$5:$B418="Investimento"))*$E$5:$E418))</f>
        <v/>
      </c>
    </row>
    <row r="419">
      <c r="A419" s="79" t="n"/>
      <c r="B419" s="80" t="n"/>
      <c r="C419" s="80" t="n"/>
      <c r="D419" s="80" t="n"/>
      <c r="E419" s="81" t="n"/>
      <c r="F419" s="80" t="n"/>
      <c r="G419" s="82">
        <f>IF($A419="","",MONTH($A419))</f>
        <v/>
      </c>
      <c r="H419" s="83">
        <f>IF($A419="","",SUMPRODUCT(($B$5:$B419="Receita")*$E$5:$E419)-SUMPRODUCT((($B$5:$B419="Despesa")+($B$5:$B419="Investimento"))*$E$5:$E419))</f>
        <v/>
      </c>
    </row>
    <row r="420">
      <c r="A420" s="79" t="n"/>
      <c r="B420" s="80" t="n"/>
      <c r="C420" s="80" t="n"/>
      <c r="D420" s="80" t="n"/>
      <c r="E420" s="81" t="n"/>
      <c r="F420" s="80" t="n"/>
      <c r="G420" s="82">
        <f>IF($A420="","",MONTH($A420))</f>
        <v/>
      </c>
      <c r="H420" s="83">
        <f>IF($A420="","",SUMPRODUCT(($B$5:$B420="Receita")*$E$5:$E420)-SUMPRODUCT((($B$5:$B420="Despesa")+($B$5:$B420="Investimento"))*$E$5:$E420))</f>
        <v/>
      </c>
    </row>
    <row r="421">
      <c r="A421" s="79" t="n"/>
      <c r="B421" s="80" t="n"/>
      <c r="C421" s="80" t="n"/>
      <c r="D421" s="80" t="n"/>
      <c r="E421" s="81" t="n"/>
      <c r="F421" s="80" t="n"/>
      <c r="G421" s="82">
        <f>IF($A421="","",MONTH($A421))</f>
        <v/>
      </c>
      <c r="H421" s="83">
        <f>IF($A421="","",SUMPRODUCT(($B$5:$B421="Receita")*$E$5:$E421)-SUMPRODUCT((($B$5:$B421="Despesa")+($B$5:$B421="Investimento"))*$E$5:$E421))</f>
        <v/>
      </c>
    </row>
    <row r="422">
      <c r="A422" s="79" t="n"/>
      <c r="B422" s="80" t="n"/>
      <c r="C422" s="80" t="n"/>
      <c r="D422" s="80" t="n"/>
      <c r="E422" s="81" t="n"/>
      <c r="F422" s="80" t="n"/>
      <c r="G422" s="82">
        <f>IF($A422="","",MONTH($A422))</f>
        <v/>
      </c>
      <c r="H422" s="83">
        <f>IF($A422="","",SUMPRODUCT(($B$5:$B422="Receita")*$E$5:$E422)-SUMPRODUCT((($B$5:$B422="Despesa")+($B$5:$B422="Investimento"))*$E$5:$E422))</f>
        <v/>
      </c>
    </row>
    <row r="423">
      <c r="A423" s="79" t="n"/>
      <c r="B423" s="80" t="n"/>
      <c r="C423" s="80" t="n"/>
      <c r="D423" s="80" t="n"/>
      <c r="E423" s="81" t="n"/>
      <c r="F423" s="80" t="n"/>
      <c r="G423" s="82">
        <f>IF($A423="","",MONTH($A423))</f>
        <v/>
      </c>
      <c r="H423" s="83">
        <f>IF($A423="","",SUMPRODUCT(($B$5:$B423="Receita")*$E$5:$E423)-SUMPRODUCT((($B$5:$B423="Despesa")+($B$5:$B423="Investimento"))*$E$5:$E423))</f>
        <v/>
      </c>
    </row>
    <row r="424">
      <c r="A424" s="79" t="n"/>
      <c r="B424" s="80" t="n"/>
      <c r="C424" s="80" t="n"/>
      <c r="D424" s="80" t="n"/>
      <c r="E424" s="81" t="n"/>
      <c r="F424" s="80" t="n"/>
      <c r="G424" s="82">
        <f>IF($A424="","",MONTH($A424))</f>
        <v/>
      </c>
      <c r="H424" s="83">
        <f>IF($A424="","",SUMPRODUCT(($B$5:$B424="Receita")*$E$5:$E424)-SUMPRODUCT((($B$5:$B424="Despesa")+($B$5:$B424="Investimento"))*$E$5:$E424))</f>
        <v/>
      </c>
    </row>
    <row r="425">
      <c r="A425" s="79" t="n"/>
      <c r="B425" s="80" t="n"/>
      <c r="C425" s="80" t="n"/>
      <c r="D425" s="80" t="n"/>
      <c r="E425" s="81" t="n"/>
      <c r="F425" s="80" t="n"/>
      <c r="G425" s="82">
        <f>IF($A425="","",MONTH($A425))</f>
        <v/>
      </c>
      <c r="H425" s="83">
        <f>IF($A425="","",SUMPRODUCT(($B$5:$B425="Receita")*$E$5:$E425)-SUMPRODUCT((($B$5:$B425="Despesa")+($B$5:$B425="Investimento"))*$E$5:$E425))</f>
        <v/>
      </c>
    </row>
    <row r="426">
      <c r="A426" s="79" t="n"/>
      <c r="B426" s="80" t="n"/>
      <c r="C426" s="80" t="n"/>
      <c r="D426" s="80" t="n"/>
      <c r="E426" s="81" t="n"/>
      <c r="F426" s="80" t="n"/>
      <c r="G426" s="82">
        <f>IF($A426="","",MONTH($A426))</f>
        <v/>
      </c>
      <c r="H426" s="83">
        <f>IF($A426="","",SUMPRODUCT(($B$5:$B426="Receita")*$E$5:$E426)-SUMPRODUCT((($B$5:$B426="Despesa")+($B$5:$B426="Investimento"))*$E$5:$E426))</f>
        <v/>
      </c>
    </row>
    <row r="427">
      <c r="A427" s="79" t="n"/>
      <c r="B427" s="80" t="n"/>
      <c r="C427" s="80" t="n"/>
      <c r="D427" s="80" t="n"/>
      <c r="E427" s="81" t="n"/>
      <c r="F427" s="80" t="n"/>
      <c r="G427" s="82">
        <f>IF($A427="","",MONTH($A427))</f>
        <v/>
      </c>
      <c r="H427" s="83">
        <f>IF($A427="","",SUMPRODUCT(($B$5:$B427="Receita")*$E$5:$E427)-SUMPRODUCT((($B$5:$B427="Despesa")+($B$5:$B427="Investimento"))*$E$5:$E427))</f>
        <v/>
      </c>
    </row>
    <row r="428">
      <c r="A428" s="79" t="n"/>
      <c r="B428" s="80" t="n"/>
      <c r="C428" s="80" t="n"/>
      <c r="D428" s="80" t="n"/>
      <c r="E428" s="81" t="n"/>
      <c r="F428" s="80" t="n"/>
      <c r="G428" s="82">
        <f>IF($A428="","",MONTH($A428))</f>
        <v/>
      </c>
      <c r="H428" s="83">
        <f>IF($A428="","",SUMPRODUCT(($B$5:$B428="Receita")*$E$5:$E428)-SUMPRODUCT((($B$5:$B428="Despesa")+($B$5:$B428="Investimento"))*$E$5:$E428))</f>
        <v/>
      </c>
    </row>
    <row r="429">
      <c r="A429" s="79" t="n"/>
      <c r="B429" s="80" t="n"/>
      <c r="C429" s="80" t="n"/>
      <c r="D429" s="80" t="n"/>
      <c r="E429" s="81" t="n"/>
      <c r="F429" s="80" t="n"/>
      <c r="G429" s="82">
        <f>IF($A429="","",MONTH($A429))</f>
        <v/>
      </c>
      <c r="H429" s="83">
        <f>IF($A429="","",SUMPRODUCT(($B$5:$B429="Receita")*$E$5:$E429)-SUMPRODUCT((($B$5:$B429="Despesa")+($B$5:$B429="Investimento"))*$E$5:$E429))</f>
        <v/>
      </c>
    </row>
    <row r="430">
      <c r="A430" s="79" t="n"/>
      <c r="B430" s="80" t="n"/>
      <c r="C430" s="80" t="n"/>
      <c r="D430" s="80" t="n"/>
      <c r="E430" s="81" t="n"/>
      <c r="F430" s="80" t="n"/>
      <c r="G430" s="82">
        <f>IF($A430="","",MONTH($A430))</f>
        <v/>
      </c>
      <c r="H430" s="83">
        <f>IF($A430="","",SUMPRODUCT(($B$5:$B430="Receita")*$E$5:$E430)-SUMPRODUCT((($B$5:$B430="Despesa")+($B$5:$B430="Investimento"))*$E$5:$E430))</f>
        <v/>
      </c>
    </row>
    <row r="431">
      <c r="A431" s="79" t="n"/>
      <c r="B431" s="80" t="n"/>
      <c r="C431" s="80" t="n"/>
      <c r="D431" s="80" t="n"/>
      <c r="E431" s="81" t="n"/>
      <c r="F431" s="80" t="n"/>
      <c r="G431" s="82">
        <f>IF($A431="","",MONTH($A431))</f>
        <v/>
      </c>
      <c r="H431" s="83">
        <f>IF($A431="","",SUMPRODUCT(($B$5:$B431="Receita")*$E$5:$E431)-SUMPRODUCT((($B$5:$B431="Despesa")+($B$5:$B431="Investimento"))*$E$5:$E431))</f>
        <v/>
      </c>
    </row>
    <row r="432">
      <c r="A432" s="79" t="n"/>
      <c r="B432" s="80" t="n"/>
      <c r="C432" s="80" t="n"/>
      <c r="D432" s="80" t="n"/>
      <c r="E432" s="81" t="n"/>
      <c r="F432" s="80" t="n"/>
      <c r="G432" s="82">
        <f>IF($A432="","",MONTH($A432))</f>
        <v/>
      </c>
      <c r="H432" s="83">
        <f>IF($A432="","",SUMPRODUCT(($B$5:$B432="Receita")*$E$5:$E432)-SUMPRODUCT((($B$5:$B432="Despesa")+($B$5:$B432="Investimento"))*$E$5:$E432))</f>
        <v/>
      </c>
    </row>
    <row r="433">
      <c r="A433" s="79" t="n"/>
      <c r="B433" s="80" t="n"/>
      <c r="C433" s="80" t="n"/>
      <c r="D433" s="80" t="n"/>
      <c r="E433" s="81" t="n"/>
      <c r="F433" s="80" t="n"/>
      <c r="G433" s="82">
        <f>IF($A433="","",MONTH($A433))</f>
        <v/>
      </c>
      <c r="H433" s="83">
        <f>IF($A433="","",SUMPRODUCT(($B$5:$B433="Receita")*$E$5:$E433)-SUMPRODUCT((($B$5:$B433="Despesa")+($B$5:$B433="Investimento"))*$E$5:$E433))</f>
        <v/>
      </c>
    </row>
    <row r="434">
      <c r="A434" s="79" t="n"/>
      <c r="B434" s="80" t="n"/>
      <c r="C434" s="80" t="n"/>
      <c r="D434" s="80" t="n"/>
      <c r="E434" s="81" t="n"/>
      <c r="F434" s="80" t="n"/>
      <c r="G434" s="82">
        <f>IF($A434="","",MONTH($A434))</f>
        <v/>
      </c>
      <c r="H434" s="83">
        <f>IF($A434="","",SUMPRODUCT(($B$5:$B434="Receita")*$E$5:$E434)-SUMPRODUCT((($B$5:$B434="Despesa")+($B$5:$B434="Investimento"))*$E$5:$E434))</f>
        <v/>
      </c>
    </row>
    <row r="435">
      <c r="A435" s="79" t="n"/>
      <c r="B435" s="80" t="n"/>
      <c r="C435" s="80" t="n"/>
      <c r="D435" s="80" t="n"/>
      <c r="E435" s="81" t="n"/>
      <c r="F435" s="80" t="n"/>
      <c r="G435" s="82">
        <f>IF($A435="","",MONTH($A435))</f>
        <v/>
      </c>
      <c r="H435" s="83">
        <f>IF($A435="","",SUMPRODUCT(($B$5:$B435="Receita")*$E$5:$E435)-SUMPRODUCT((($B$5:$B435="Despesa")+($B$5:$B435="Investimento"))*$E$5:$E435))</f>
        <v/>
      </c>
    </row>
    <row r="436">
      <c r="A436" s="79" t="n"/>
      <c r="B436" s="80" t="n"/>
      <c r="C436" s="80" t="n"/>
      <c r="D436" s="80" t="n"/>
      <c r="E436" s="81" t="n"/>
      <c r="F436" s="80" t="n"/>
      <c r="G436" s="82">
        <f>IF($A436="","",MONTH($A436))</f>
        <v/>
      </c>
      <c r="H436" s="83">
        <f>IF($A436="","",SUMPRODUCT(($B$5:$B436="Receita")*$E$5:$E436)-SUMPRODUCT((($B$5:$B436="Despesa")+($B$5:$B436="Investimento"))*$E$5:$E436))</f>
        <v/>
      </c>
    </row>
    <row r="437">
      <c r="A437" s="79" t="n"/>
      <c r="B437" s="80" t="n"/>
      <c r="C437" s="80" t="n"/>
      <c r="D437" s="80" t="n"/>
      <c r="E437" s="81" t="n"/>
      <c r="F437" s="80" t="n"/>
      <c r="G437" s="82">
        <f>IF($A437="","",MONTH($A437))</f>
        <v/>
      </c>
      <c r="H437" s="83">
        <f>IF($A437="","",SUMPRODUCT(($B$5:$B437="Receita")*$E$5:$E437)-SUMPRODUCT((($B$5:$B437="Despesa")+($B$5:$B437="Investimento"))*$E$5:$E437))</f>
        <v/>
      </c>
    </row>
    <row r="438">
      <c r="A438" s="79" t="n"/>
      <c r="B438" s="80" t="n"/>
      <c r="C438" s="80" t="n"/>
      <c r="D438" s="80" t="n"/>
      <c r="E438" s="81" t="n"/>
      <c r="F438" s="80" t="n"/>
      <c r="G438" s="82">
        <f>IF($A438="","",MONTH($A438))</f>
        <v/>
      </c>
      <c r="H438" s="83">
        <f>IF($A438="","",SUMPRODUCT(($B$5:$B438="Receita")*$E$5:$E438)-SUMPRODUCT((($B$5:$B438="Despesa")+($B$5:$B438="Investimento"))*$E$5:$E438))</f>
        <v/>
      </c>
    </row>
    <row r="439">
      <c r="A439" s="79" t="n"/>
      <c r="B439" s="80" t="n"/>
      <c r="C439" s="80" t="n"/>
      <c r="D439" s="80" t="n"/>
      <c r="E439" s="81" t="n"/>
      <c r="F439" s="80" t="n"/>
      <c r="G439" s="82">
        <f>IF($A439="","",MONTH($A439))</f>
        <v/>
      </c>
      <c r="H439" s="83">
        <f>IF($A439="","",SUMPRODUCT(($B$5:$B439="Receita")*$E$5:$E439)-SUMPRODUCT((($B$5:$B439="Despesa")+($B$5:$B439="Investimento"))*$E$5:$E439))</f>
        <v/>
      </c>
    </row>
    <row r="440">
      <c r="A440" s="79" t="n"/>
      <c r="B440" s="80" t="n"/>
      <c r="C440" s="80" t="n"/>
      <c r="D440" s="80" t="n"/>
      <c r="E440" s="81" t="n"/>
      <c r="F440" s="80" t="n"/>
      <c r="G440" s="82">
        <f>IF($A440="","",MONTH($A440))</f>
        <v/>
      </c>
      <c r="H440" s="83">
        <f>IF($A440="","",SUMPRODUCT(($B$5:$B440="Receita")*$E$5:$E440)-SUMPRODUCT((($B$5:$B440="Despesa")+($B$5:$B440="Investimento"))*$E$5:$E440))</f>
        <v/>
      </c>
    </row>
    <row r="441">
      <c r="A441" s="79" t="n"/>
      <c r="B441" s="80" t="n"/>
      <c r="C441" s="80" t="n"/>
      <c r="D441" s="80" t="n"/>
      <c r="E441" s="81" t="n"/>
      <c r="F441" s="80" t="n"/>
      <c r="G441" s="82">
        <f>IF($A441="","",MONTH($A441))</f>
        <v/>
      </c>
      <c r="H441" s="83">
        <f>IF($A441="","",SUMPRODUCT(($B$5:$B441="Receita")*$E$5:$E441)-SUMPRODUCT((($B$5:$B441="Despesa")+($B$5:$B441="Investimento"))*$E$5:$E441))</f>
        <v/>
      </c>
    </row>
    <row r="442">
      <c r="A442" s="79" t="n"/>
      <c r="B442" s="80" t="n"/>
      <c r="C442" s="80" t="n"/>
      <c r="D442" s="80" t="n"/>
      <c r="E442" s="81" t="n"/>
      <c r="F442" s="80" t="n"/>
      <c r="G442" s="82">
        <f>IF($A442="","",MONTH($A442))</f>
        <v/>
      </c>
      <c r="H442" s="83">
        <f>IF($A442="","",SUMPRODUCT(($B$5:$B442="Receita")*$E$5:$E442)-SUMPRODUCT((($B$5:$B442="Despesa")+($B$5:$B442="Investimento"))*$E$5:$E442))</f>
        <v/>
      </c>
    </row>
    <row r="443">
      <c r="A443" s="79" t="n"/>
      <c r="B443" s="80" t="n"/>
      <c r="C443" s="80" t="n"/>
      <c r="D443" s="80" t="n"/>
      <c r="E443" s="81" t="n"/>
      <c r="F443" s="80" t="n"/>
      <c r="G443" s="82">
        <f>IF($A443="","",MONTH($A443))</f>
        <v/>
      </c>
      <c r="H443" s="83">
        <f>IF($A443="","",SUMPRODUCT(($B$5:$B443="Receita")*$E$5:$E443)-SUMPRODUCT((($B$5:$B443="Despesa")+($B$5:$B443="Investimento"))*$E$5:$E443))</f>
        <v/>
      </c>
    </row>
    <row r="444">
      <c r="A444" s="79" t="n"/>
      <c r="B444" s="80" t="n"/>
      <c r="C444" s="80" t="n"/>
      <c r="D444" s="80" t="n"/>
      <c r="E444" s="81" t="n"/>
      <c r="F444" s="80" t="n"/>
      <c r="G444" s="82">
        <f>IF($A444="","",MONTH($A444))</f>
        <v/>
      </c>
      <c r="H444" s="83">
        <f>IF($A444="","",SUMPRODUCT(($B$5:$B444="Receita")*$E$5:$E444)-SUMPRODUCT((($B$5:$B444="Despesa")+($B$5:$B444="Investimento"))*$E$5:$E444))</f>
        <v/>
      </c>
    </row>
    <row r="445">
      <c r="A445" s="79" t="n"/>
      <c r="B445" s="80" t="n"/>
      <c r="C445" s="80" t="n"/>
      <c r="D445" s="80" t="n"/>
      <c r="E445" s="81" t="n"/>
      <c r="F445" s="80" t="n"/>
      <c r="G445" s="82">
        <f>IF($A445="","",MONTH($A445))</f>
        <v/>
      </c>
      <c r="H445" s="83">
        <f>IF($A445="","",SUMPRODUCT(($B$5:$B445="Receita")*$E$5:$E445)-SUMPRODUCT((($B$5:$B445="Despesa")+($B$5:$B445="Investimento"))*$E$5:$E445))</f>
        <v/>
      </c>
    </row>
    <row r="446">
      <c r="A446" s="79" t="n"/>
      <c r="B446" s="80" t="n"/>
      <c r="C446" s="80" t="n"/>
      <c r="D446" s="80" t="n"/>
      <c r="E446" s="81" t="n"/>
      <c r="F446" s="80" t="n"/>
      <c r="G446" s="82">
        <f>IF($A446="","",MONTH($A446))</f>
        <v/>
      </c>
      <c r="H446" s="83">
        <f>IF($A446="","",SUMPRODUCT(($B$5:$B446="Receita")*$E$5:$E446)-SUMPRODUCT((($B$5:$B446="Despesa")+($B$5:$B446="Investimento"))*$E$5:$E446))</f>
        <v/>
      </c>
    </row>
    <row r="447">
      <c r="A447" s="79" t="n"/>
      <c r="B447" s="80" t="n"/>
      <c r="C447" s="80" t="n"/>
      <c r="D447" s="80" t="n"/>
      <c r="E447" s="81" t="n"/>
      <c r="F447" s="80" t="n"/>
      <c r="G447" s="82">
        <f>IF($A447="","",MONTH($A447))</f>
        <v/>
      </c>
      <c r="H447" s="83">
        <f>IF($A447="","",SUMPRODUCT(($B$5:$B447="Receita")*$E$5:$E447)-SUMPRODUCT((($B$5:$B447="Despesa")+($B$5:$B447="Investimento"))*$E$5:$E447))</f>
        <v/>
      </c>
    </row>
    <row r="448">
      <c r="A448" s="79" t="n"/>
      <c r="B448" s="80" t="n"/>
      <c r="C448" s="80" t="n"/>
      <c r="D448" s="80" t="n"/>
      <c r="E448" s="81" t="n"/>
      <c r="F448" s="80" t="n"/>
      <c r="G448" s="82">
        <f>IF($A448="","",MONTH($A448))</f>
        <v/>
      </c>
      <c r="H448" s="83">
        <f>IF($A448="","",SUMPRODUCT(($B$5:$B448="Receita")*$E$5:$E448)-SUMPRODUCT((($B$5:$B448="Despesa")+($B$5:$B448="Investimento"))*$E$5:$E448))</f>
        <v/>
      </c>
    </row>
    <row r="449">
      <c r="A449" s="79" t="n"/>
      <c r="B449" s="80" t="n"/>
      <c r="C449" s="80" t="n"/>
      <c r="D449" s="80" t="n"/>
      <c r="E449" s="81" t="n"/>
      <c r="F449" s="80" t="n"/>
      <c r="G449" s="82">
        <f>IF($A449="","",MONTH($A449))</f>
        <v/>
      </c>
      <c r="H449" s="83">
        <f>IF($A449="","",SUMPRODUCT(($B$5:$B449="Receita")*$E$5:$E449)-SUMPRODUCT((($B$5:$B449="Despesa")+($B$5:$B449="Investimento"))*$E$5:$E449))</f>
        <v/>
      </c>
    </row>
    <row r="450">
      <c r="A450" s="79" t="n"/>
      <c r="B450" s="80" t="n"/>
      <c r="C450" s="80" t="n"/>
      <c r="D450" s="80" t="n"/>
      <c r="E450" s="81" t="n"/>
      <c r="F450" s="80" t="n"/>
      <c r="G450" s="82">
        <f>IF($A450="","",MONTH($A450))</f>
        <v/>
      </c>
      <c r="H450" s="83">
        <f>IF($A450="","",SUMPRODUCT(($B$5:$B450="Receita")*$E$5:$E450)-SUMPRODUCT((($B$5:$B450="Despesa")+($B$5:$B450="Investimento"))*$E$5:$E450))</f>
        <v/>
      </c>
    </row>
    <row r="451">
      <c r="A451" s="79" t="n"/>
      <c r="B451" s="80" t="n"/>
      <c r="C451" s="80" t="n"/>
      <c r="D451" s="80" t="n"/>
      <c r="E451" s="81" t="n"/>
      <c r="F451" s="80" t="n"/>
      <c r="G451" s="82">
        <f>IF($A451="","",MONTH($A451))</f>
        <v/>
      </c>
      <c r="H451" s="83">
        <f>IF($A451="","",SUMPRODUCT(($B$5:$B451="Receita")*$E$5:$E451)-SUMPRODUCT((($B$5:$B451="Despesa")+($B$5:$B451="Investimento"))*$E$5:$E451))</f>
        <v/>
      </c>
    </row>
    <row r="452">
      <c r="A452" s="79" t="n"/>
      <c r="B452" s="80" t="n"/>
      <c r="C452" s="80" t="n"/>
      <c r="D452" s="80" t="n"/>
      <c r="E452" s="81" t="n"/>
      <c r="F452" s="80" t="n"/>
      <c r="G452" s="82">
        <f>IF($A452="","",MONTH($A452))</f>
        <v/>
      </c>
      <c r="H452" s="83">
        <f>IF($A452="","",SUMPRODUCT(($B$5:$B452="Receita")*$E$5:$E452)-SUMPRODUCT((($B$5:$B452="Despesa")+($B$5:$B452="Investimento"))*$E$5:$E452))</f>
        <v/>
      </c>
    </row>
    <row r="453">
      <c r="A453" s="79" t="n"/>
      <c r="B453" s="80" t="n"/>
      <c r="C453" s="80" t="n"/>
      <c r="D453" s="80" t="n"/>
      <c r="E453" s="81" t="n"/>
      <c r="F453" s="80" t="n"/>
      <c r="G453" s="82">
        <f>IF($A453="","",MONTH($A453))</f>
        <v/>
      </c>
      <c r="H453" s="83">
        <f>IF($A453="","",SUMPRODUCT(($B$5:$B453="Receita")*$E$5:$E453)-SUMPRODUCT((($B$5:$B453="Despesa")+($B$5:$B453="Investimento"))*$E$5:$E453))</f>
        <v/>
      </c>
    </row>
    <row r="454">
      <c r="A454" s="79" t="n"/>
      <c r="B454" s="80" t="n"/>
      <c r="C454" s="80" t="n"/>
      <c r="D454" s="80" t="n"/>
      <c r="E454" s="81" t="n"/>
      <c r="F454" s="80" t="n"/>
      <c r="G454" s="82">
        <f>IF($A454="","",MONTH($A454))</f>
        <v/>
      </c>
      <c r="H454" s="83">
        <f>IF($A454="","",SUMPRODUCT(($B$5:$B454="Receita")*$E$5:$E454)-SUMPRODUCT((($B$5:$B454="Despesa")+($B$5:$B454="Investimento"))*$E$5:$E454))</f>
        <v/>
      </c>
    </row>
    <row r="455">
      <c r="A455" s="79" t="n"/>
      <c r="B455" s="80" t="n"/>
      <c r="C455" s="80" t="n"/>
      <c r="D455" s="80" t="n"/>
      <c r="E455" s="81" t="n"/>
      <c r="F455" s="80" t="n"/>
      <c r="G455" s="82">
        <f>IF($A455="","",MONTH($A455))</f>
        <v/>
      </c>
      <c r="H455" s="83">
        <f>IF($A455="","",SUMPRODUCT(($B$5:$B455="Receita")*$E$5:$E455)-SUMPRODUCT((($B$5:$B455="Despesa")+($B$5:$B455="Investimento"))*$E$5:$E455))</f>
        <v/>
      </c>
    </row>
    <row r="456">
      <c r="A456" s="79" t="n"/>
      <c r="B456" s="80" t="n"/>
      <c r="C456" s="80" t="n"/>
      <c r="D456" s="80" t="n"/>
      <c r="E456" s="81" t="n"/>
      <c r="F456" s="80" t="n"/>
      <c r="G456" s="82">
        <f>IF($A456="","",MONTH($A456))</f>
        <v/>
      </c>
      <c r="H456" s="83">
        <f>IF($A456="","",SUMPRODUCT(($B$5:$B456="Receita")*$E$5:$E456)-SUMPRODUCT((($B$5:$B456="Despesa")+($B$5:$B456="Investimento"))*$E$5:$E456))</f>
        <v/>
      </c>
    </row>
    <row r="457">
      <c r="A457" s="79" t="n"/>
      <c r="B457" s="80" t="n"/>
      <c r="C457" s="80" t="n"/>
      <c r="D457" s="80" t="n"/>
      <c r="E457" s="81" t="n"/>
      <c r="F457" s="80" t="n"/>
      <c r="G457" s="82">
        <f>IF($A457="","",MONTH($A457))</f>
        <v/>
      </c>
      <c r="H457" s="83">
        <f>IF($A457="","",SUMPRODUCT(($B$5:$B457="Receita")*$E$5:$E457)-SUMPRODUCT((($B$5:$B457="Despesa")+($B$5:$B457="Investimento"))*$E$5:$E457))</f>
        <v/>
      </c>
    </row>
    <row r="458">
      <c r="A458" s="79" t="n"/>
      <c r="B458" s="80" t="n"/>
      <c r="C458" s="80" t="n"/>
      <c r="D458" s="80" t="n"/>
      <c r="E458" s="81" t="n"/>
      <c r="F458" s="80" t="n"/>
      <c r="G458" s="82">
        <f>IF($A458="","",MONTH($A458))</f>
        <v/>
      </c>
      <c r="H458" s="83">
        <f>IF($A458="","",SUMPRODUCT(($B$5:$B458="Receita")*$E$5:$E458)-SUMPRODUCT((($B$5:$B458="Despesa")+($B$5:$B458="Investimento"))*$E$5:$E458))</f>
        <v/>
      </c>
    </row>
    <row r="459">
      <c r="A459" s="79" t="n"/>
      <c r="B459" s="80" t="n"/>
      <c r="C459" s="80" t="n"/>
      <c r="D459" s="80" t="n"/>
      <c r="E459" s="81" t="n"/>
      <c r="F459" s="80" t="n"/>
      <c r="G459" s="82">
        <f>IF($A459="","",MONTH($A459))</f>
        <v/>
      </c>
      <c r="H459" s="83">
        <f>IF($A459="","",SUMPRODUCT(($B$5:$B459="Receita")*$E$5:$E459)-SUMPRODUCT((($B$5:$B459="Despesa")+($B$5:$B459="Investimento"))*$E$5:$E459))</f>
        <v/>
      </c>
    </row>
    <row r="460">
      <c r="A460" s="79" t="n"/>
      <c r="B460" s="80" t="n"/>
      <c r="C460" s="80" t="n"/>
      <c r="D460" s="80" t="n"/>
      <c r="E460" s="81" t="n"/>
      <c r="F460" s="80" t="n"/>
      <c r="G460" s="82">
        <f>IF($A460="","",MONTH($A460))</f>
        <v/>
      </c>
      <c r="H460" s="83">
        <f>IF($A460="","",SUMPRODUCT(($B$5:$B460="Receita")*$E$5:$E460)-SUMPRODUCT((($B$5:$B460="Despesa")+($B$5:$B460="Investimento"))*$E$5:$E460))</f>
        <v/>
      </c>
    </row>
    <row r="461">
      <c r="A461" s="79" t="n"/>
      <c r="B461" s="80" t="n"/>
      <c r="C461" s="80" t="n"/>
      <c r="D461" s="80" t="n"/>
      <c r="E461" s="81" t="n"/>
      <c r="F461" s="80" t="n"/>
      <c r="G461" s="82">
        <f>IF($A461="","",MONTH($A461))</f>
        <v/>
      </c>
      <c r="H461" s="83">
        <f>IF($A461="","",SUMPRODUCT(($B$5:$B461="Receita")*$E$5:$E461)-SUMPRODUCT((($B$5:$B461="Despesa")+($B$5:$B461="Investimento"))*$E$5:$E461))</f>
        <v/>
      </c>
    </row>
    <row r="462">
      <c r="A462" s="79" t="n"/>
      <c r="B462" s="80" t="n"/>
      <c r="C462" s="80" t="n"/>
      <c r="D462" s="80" t="n"/>
      <c r="E462" s="81" t="n"/>
      <c r="F462" s="80" t="n"/>
      <c r="G462" s="82">
        <f>IF($A462="","",MONTH($A462))</f>
        <v/>
      </c>
      <c r="H462" s="83">
        <f>IF($A462="","",SUMPRODUCT(($B$5:$B462="Receita")*$E$5:$E462)-SUMPRODUCT((($B$5:$B462="Despesa")+($B$5:$B462="Investimento"))*$E$5:$E462))</f>
        <v/>
      </c>
    </row>
    <row r="463">
      <c r="A463" s="79" t="n"/>
      <c r="B463" s="80" t="n"/>
      <c r="C463" s="80" t="n"/>
      <c r="D463" s="80" t="n"/>
      <c r="E463" s="81" t="n"/>
      <c r="F463" s="80" t="n"/>
      <c r="G463" s="82">
        <f>IF($A463="","",MONTH($A463))</f>
        <v/>
      </c>
      <c r="H463" s="83">
        <f>IF($A463="","",SUMPRODUCT(($B$5:$B463="Receita")*$E$5:$E463)-SUMPRODUCT((($B$5:$B463="Despesa")+($B$5:$B463="Investimento"))*$E$5:$E463))</f>
        <v/>
      </c>
    </row>
    <row r="464">
      <c r="A464" s="79" t="n"/>
      <c r="B464" s="80" t="n"/>
      <c r="C464" s="80" t="n"/>
      <c r="D464" s="80" t="n"/>
      <c r="E464" s="81" t="n"/>
      <c r="F464" s="80" t="n"/>
      <c r="G464" s="82">
        <f>IF($A464="","",MONTH($A464))</f>
        <v/>
      </c>
      <c r="H464" s="83">
        <f>IF($A464="","",SUMPRODUCT(($B$5:$B464="Receita")*$E$5:$E464)-SUMPRODUCT((($B$5:$B464="Despesa")+($B$5:$B464="Investimento"))*$E$5:$E464))</f>
        <v/>
      </c>
    </row>
    <row r="465">
      <c r="A465" s="79" t="n"/>
      <c r="B465" s="80" t="n"/>
      <c r="C465" s="80" t="n"/>
      <c r="D465" s="80" t="n"/>
      <c r="E465" s="81" t="n"/>
      <c r="F465" s="80" t="n"/>
      <c r="G465" s="82">
        <f>IF($A465="","",MONTH($A465))</f>
        <v/>
      </c>
      <c r="H465" s="83">
        <f>IF($A465="","",SUMPRODUCT(($B$5:$B465="Receita")*$E$5:$E465)-SUMPRODUCT((($B$5:$B465="Despesa")+($B$5:$B465="Investimento"))*$E$5:$E465))</f>
        <v/>
      </c>
    </row>
    <row r="466">
      <c r="A466" s="79" t="n"/>
      <c r="B466" s="80" t="n"/>
      <c r="C466" s="80" t="n"/>
      <c r="D466" s="80" t="n"/>
      <c r="E466" s="81" t="n"/>
      <c r="F466" s="80" t="n"/>
      <c r="G466" s="82">
        <f>IF($A466="","",MONTH($A466))</f>
        <v/>
      </c>
      <c r="H466" s="83">
        <f>IF($A466="","",SUMPRODUCT(($B$5:$B466="Receita")*$E$5:$E466)-SUMPRODUCT((($B$5:$B466="Despesa")+($B$5:$B466="Investimento"))*$E$5:$E466))</f>
        <v/>
      </c>
    </row>
    <row r="467">
      <c r="A467" s="79" t="n"/>
      <c r="B467" s="80" t="n"/>
      <c r="C467" s="80" t="n"/>
      <c r="D467" s="80" t="n"/>
      <c r="E467" s="81" t="n"/>
      <c r="F467" s="80" t="n"/>
      <c r="G467" s="82">
        <f>IF($A467="","",MONTH($A467))</f>
        <v/>
      </c>
      <c r="H467" s="83">
        <f>IF($A467="","",SUMPRODUCT(($B$5:$B467="Receita")*$E$5:$E467)-SUMPRODUCT((($B$5:$B467="Despesa")+($B$5:$B467="Investimento"))*$E$5:$E467))</f>
        <v/>
      </c>
    </row>
    <row r="468">
      <c r="A468" s="79" t="n"/>
      <c r="B468" s="80" t="n"/>
      <c r="C468" s="80" t="n"/>
      <c r="D468" s="80" t="n"/>
      <c r="E468" s="81" t="n"/>
      <c r="F468" s="80" t="n"/>
      <c r="G468" s="82">
        <f>IF($A468="","",MONTH($A468))</f>
        <v/>
      </c>
      <c r="H468" s="83">
        <f>IF($A468="","",SUMPRODUCT(($B$5:$B468="Receita")*$E$5:$E468)-SUMPRODUCT((($B$5:$B468="Despesa")+($B$5:$B468="Investimento"))*$E$5:$E468))</f>
        <v/>
      </c>
    </row>
    <row r="469">
      <c r="A469" s="79" t="n"/>
      <c r="B469" s="80" t="n"/>
      <c r="C469" s="80" t="n"/>
      <c r="D469" s="80" t="n"/>
      <c r="E469" s="81" t="n"/>
      <c r="F469" s="80" t="n"/>
      <c r="G469" s="82">
        <f>IF($A469="","",MONTH($A469))</f>
        <v/>
      </c>
      <c r="H469" s="83">
        <f>IF($A469="","",SUMPRODUCT(($B$5:$B469="Receita")*$E$5:$E469)-SUMPRODUCT((($B$5:$B469="Despesa")+($B$5:$B469="Investimento"))*$E$5:$E469))</f>
        <v/>
      </c>
    </row>
    <row r="470">
      <c r="A470" s="79" t="n"/>
      <c r="B470" s="80" t="n"/>
      <c r="C470" s="80" t="n"/>
      <c r="D470" s="80" t="n"/>
      <c r="E470" s="81" t="n"/>
      <c r="F470" s="80" t="n"/>
      <c r="G470" s="82">
        <f>IF($A470="","",MONTH($A470))</f>
        <v/>
      </c>
      <c r="H470" s="83">
        <f>IF($A470="","",SUMPRODUCT(($B$5:$B470="Receita")*$E$5:$E470)-SUMPRODUCT((($B$5:$B470="Despesa")+($B$5:$B470="Investimento"))*$E$5:$E470))</f>
        <v/>
      </c>
    </row>
    <row r="471">
      <c r="A471" s="79" t="n"/>
      <c r="B471" s="80" t="n"/>
      <c r="C471" s="80" t="n"/>
      <c r="D471" s="80" t="n"/>
      <c r="E471" s="81" t="n"/>
      <c r="F471" s="80" t="n"/>
      <c r="G471" s="82">
        <f>IF($A471="","",MONTH($A471))</f>
        <v/>
      </c>
      <c r="H471" s="83">
        <f>IF($A471="","",SUMPRODUCT(($B$5:$B471="Receita")*$E$5:$E471)-SUMPRODUCT((($B$5:$B471="Despesa")+($B$5:$B471="Investimento"))*$E$5:$E471))</f>
        <v/>
      </c>
    </row>
    <row r="472">
      <c r="A472" s="79" t="n"/>
      <c r="B472" s="80" t="n"/>
      <c r="C472" s="80" t="n"/>
      <c r="D472" s="80" t="n"/>
      <c r="E472" s="81" t="n"/>
      <c r="F472" s="80" t="n"/>
      <c r="G472" s="82">
        <f>IF($A472="","",MONTH($A472))</f>
        <v/>
      </c>
      <c r="H472" s="83">
        <f>IF($A472="","",SUMPRODUCT(($B$5:$B472="Receita")*$E$5:$E472)-SUMPRODUCT((($B$5:$B472="Despesa")+($B$5:$B472="Investimento"))*$E$5:$E472))</f>
        <v/>
      </c>
    </row>
    <row r="473">
      <c r="A473" s="79" t="n"/>
      <c r="B473" s="80" t="n"/>
      <c r="C473" s="80" t="n"/>
      <c r="D473" s="80" t="n"/>
      <c r="E473" s="81" t="n"/>
      <c r="F473" s="80" t="n"/>
      <c r="G473" s="82">
        <f>IF($A473="","",MONTH($A473))</f>
        <v/>
      </c>
      <c r="H473" s="83">
        <f>IF($A473="","",SUMPRODUCT(($B$5:$B473="Receita")*$E$5:$E473)-SUMPRODUCT((($B$5:$B473="Despesa")+($B$5:$B473="Investimento"))*$E$5:$E473))</f>
        <v/>
      </c>
    </row>
    <row r="474">
      <c r="A474" s="79" t="n"/>
      <c r="B474" s="80" t="n"/>
      <c r="C474" s="80" t="n"/>
      <c r="D474" s="80" t="n"/>
      <c r="E474" s="81" t="n"/>
      <c r="F474" s="80" t="n"/>
      <c r="G474" s="82">
        <f>IF($A474="","",MONTH($A474))</f>
        <v/>
      </c>
      <c r="H474" s="83">
        <f>IF($A474="","",SUMPRODUCT(($B$5:$B474="Receita")*$E$5:$E474)-SUMPRODUCT((($B$5:$B474="Despesa")+($B$5:$B474="Investimento"))*$E$5:$E474))</f>
        <v/>
      </c>
    </row>
    <row r="475">
      <c r="A475" s="79" t="n"/>
      <c r="B475" s="80" t="n"/>
      <c r="C475" s="80" t="n"/>
      <c r="D475" s="80" t="n"/>
      <c r="E475" s="81" t="n"/>
      <c r="F475" s="80" t="n"/>
      <c r="G475" s="82">
        <f>IF($A475="","",MONTH($A475))</f>
        <v/>
      </c>
      <c r="H475" s="83">
        <f>IF($A475="","",SUMPRODUCT(($B$5:$B475="Receita")*$E$5:$E475)-SUMPRODUCT((($B$5:$B475="Despesa")+($B$5:$B475="Investimento"))*$E$5:$E475))</f>
        <v/>
      </c>
    </row>
    <row r="476">
      <c r="A476" s="79" t="n"/>
      <c r="B476" s="80" t="n"/>
      <c r="C476" s="80" t="n"/>
      <c r="D476" s="80" t="n"/>
      <c r="E476" s="81" t="n"/>
      <c r="F476" s="80" t="n"/>
      <c r="G476" s="82">
        <f>IF($A476="","",MONTH($A476))</f>
        <v/>
      </c>
      <c r="H476" s="83">
        <f>IF($A476="","",SUMPRODUCT(($B$5:$B476="Receita")*$E$5:$E476)-SUMPRODUCT((($B$5:$B476="Despesa")+($B$5:$B476="Investimento"))*$E$5:$E476))</f>
        <v/>
      </c>
    </row>
    <row r="477">
      <c r="A477" s="79" t="n"/>
      <c r="B477" s="80" t="n"/>
      <c r="C477" s="80" t="n"/>
      <c r="D477" s="80" t="n"/>
      <c r="E477" s="81" t="n"/>
      <c r="F477" s="80" t="n"/>
      <c r="G477" s="82">
        <f>IF($A477="","",MONTH($A477))</f>
        <v/>
      </c>
      <c r="H477" s="83">
        <f>IF($A477="","",SUMPRODUCT(($B$5:$B477="Receita")*$E$5:$E477)-SUMPRODUCT((($B$5:$B477="Despesa")+($B$5:$B477="Investimento"))*$E$5:$E477))</f>
        <v/>
      </c>
    </row>
    <row r="478">
      <c r="A478" s="79" t="n"/>
      <c r="B478" s="80" t="n"/>
      <c r="C478" s="80" t="n"/>
      <c r="D478" s="80" t="n"/>
      <c r="E478" s="81" t="n"/>
      <c r="F478" s="80" t="n"/>
      <c r="G478" s="82">
        <f>IF($A478="","",MONTH($A478))</f>
        <v/>
      </c>
      <c r="H478" s="83">
        <f>IF($A478="","",SUMPRODUCT(($B$5:$B478="Receita")*$E$5:$E478)-SUMPRODUCT((($B$5:$B478="Despesa")+($B$5:$B478="Investimento"))*$E$5:$E478))</f>
        <v/>
      </c>
    </row>
    <row r="479">
      <c r="A479" s="79" t="n"/>
      <c r="B479" s="80" t="n"/>
      <c r="C479" s="80" t="n"/>
      <c r="D479" s="80" t="n"/>
      <c r="E479" s="81" t="n"/>
      <c r="F479" s="80" t="n"/>
      <c r="G479" s="82">
        <f>IF($A479="","",MONTH($A479))</f>
        <v/>
      </c>
      <c r="H479" s="83">
        <f>IF($A479="","",SUMPRODUCT(($B$5:$B479="Receita")*$E$5:$E479)-SUMPRODUCT((($B$5:$B479="Despesa")+($B$5:$B479="Investimento"))*$E$5:$E479))</f>
        <v/>
      </c>
    </row>
    <row r="480">
      <c r="A480" s="79" t="n"/>
      <c r="B480" s="80" t="n"/>
      <c r="C480" s="80" t="n"/>
      <c r="D480" s="80" t="n"/>
      <c r="E480" s="81" t="n"/>
      <c r="F480" s="80" t="n"/>
      <c r="G480" s="82">
        <f>IF($A480="","",MONTH($A480))</f>
        <v/>
      </c>
      <c r="H480" s="83">
        <f>IF($A480="","",SUMPRODUCT(($B$5:$B480="Receita")*$E$5:$E480)-SUMPRODUCT((($B$5:$B480="Despesa")+($B$5:$B480="Investimento"))*$E$5:$E480))</f>
        <v/>
      </c>
    </row>
    <row r="481">
      <c r="A481" s="79" t="n"/>
      <c r="B481" s="80" t="n"/>
      <c r="C481" s="80" t="n"/>
      <c r="D481" s="80" t="n"/>
      <c r="E481" s="81" t="n"/>
      <c r="F481" s="80" t="n"/>
      <c r="G481" s="82">
        <f>IF($A481="","",MONTH($A481))</f>
        <v/>
      </c>
      <c r="H481" s="83">
        <f>IF($A481="","",SUMPRODUCT(($B$5:$B481="Receita")*$E$5:$E481)-SUMPRODUCT((($B$5:$B481="Despesa")+($B$5:$B481="Investimento"))*$E$5:$E481))</f>
        <v/>
      </c>
    </row>
    <row r="482">
      <c r="A482" s="79" t="n"/>
      <c r="B482" s="80" t="n"/>
      <c r="C482" s="80" t="n"/>
      <c r="D482" s="80" t="n"/>
      <c r="E482" s="81" t="n"/>
      <c r="F482" s="80" t="n"/>
      <c r="G482" s="82">
        <f>IF($A482="","",MONTH($A482))</f>
        <v/>
      </c>
      <c r="H482" s="83">
        <f>IF($A482="","",SUMPRODUCT(($B$5:$B482="Receita")*$E$5:$E482)-SUMPRODUCT((($B$5:$B482="Despesa")+($B$5:$B482="Investimento"))*$E$5:$E482))</f>
        <v/>
      </c>
    </row>
    <row r="483">
      <c r="A483" s="79" t="n"/>
      <c r="B483" s="80" t="n"/>
      <c r="C483" s="80" t="n"/>
      <c r="D483" s="80" t="n"/>
      <c r="E483" s="81" t="n"/>
      <c r="F483" s="80" t="n"/>
      <c r="G483" s="82">
        <f>IF($A483="","",MONTH($A483))</f>
        <v/>
      </c>
      <c r="H483" s="83">
        <f>IF($A483="","",SUMPRODUCT(($B$5:$B483="Receita")*$E$5:$E483)-SUMPRODUCT((($B$5:$B483="Despesa")+($B$5:$B483="Investimento"))*$E$5:$E483))</f>
        <v/>
      </c>
    </row>
    <row r="484">
      <c r="A484" s="79" t="n"/>
      <c r="B484" s="80" t="n"/>
      <c r="C484" s="80" t="n"/>
      <c r="D484" s="80" t="n"/>
      <c r="E484" s="81" t="n"/>
      <c r="F484" s="80" t="n"/>
      <c r="G484" s="82">
        <f>IF($A484="","",MONTH($A484))</f>
        <v/>
      </c>
      <c r="H484" s="83">
        <f>IF($A484="","",SUMPRODUCT(($B$5:$B484="Receita")*$E$5:$E484)-SUMPRODUCT((($B$5:$B484="Despesa")+($B$5:$B484="Investimento"))*$E$5:$E484))</f>
        <v/>
      </c>
    </row>
    <row r="485">
      <c r="A485" s="79" t="n"/>
      <c r="B485" s="80" t="n"/>
      <c r="C485" s="80" t="n"/>
      <c r="D485" s="80" t="n"/>
      <c r="E485" s="81" t="n"/>
      <c r="F485" s="80" t="n"/>
      <c r="G485" s="82">
        <f>IF($A485="","",MONTH($A485))</f>
        <v/>
      </c>
      <c r="H485" s="83">
        <f>IF($A485="","",SUMPRODUCT(($B$5:$B485="Receita")*$E$5:$E485)-SUMPRODUCT((($B$5:$B485="Despesa")+($B$5:$B485="Investimento"))*$E$5:$E485))</f>
        <v/>
      </c>
    </row>
    <row r="486">
      <c r="A486" s="79" t="n"/>
      <c r="B486" s="80" t="n"/>
      <c r="C486" s="80" t="n"/>
      <c r="D486" s="80" t="n"/>
      <c r="E486" s="81" t="n"/>
      <c r="F486" s="80" t="n"/>
      <c r="G486" s="82">
        <f>IF($A486="","",MONTH($A486))</f>
        <v/>
      </c>
      <c r="H486" s="83">
        <f>IF($A486="","",SUMPRODUCT(($B$5:$B486="Receita")*$E$5:$E486)-SUMPRODUCT((($B$5:$B486="Despesa")+($B$5:$B486="Investimento"))*$E$5:$E486))</f>
        <v/>
      </c>
    </row>
    <row r="487">
      <c r="A487" s="79" t="n"/>
      <c r="B487" s="80" t="n"/>
      <c r="C487" s="80" t="n"/>
      <c r="D487" s="80" t="n"/>
      <c r="E487" s="81" t="n"/>
      <c r="F487" s="80" t="n"/>
      <c r="G487" s="82">
        <f>IF($A487="","",MONTH($A487))</f>
        <v/>
      </c>
      <c r="H487" s="83">
        <f>IF($A487="","",SUMPRODUCT(($B$5:$B487="Receita")*$E$5:$E487)-SUMPRODUCT((($B$5:$B487="Despesa")+($B$5:$B487="Investimento"))*$E$5:$E487))</f>
        <v/>
      </c>
    </row>
    <row r="488">
      <c r="A488" s="79" t="n"/>
      <c r="B488" s="80" t="n"/>
      <c r="C488" s="80" t="n"/>
      <c r="D488" s="80" t="n"/>
      <c r="E488" s="81" t="n"/>
      <c r="F488" s="80" t="n"/>
      <c r="G488" s="82">
        <f>IF($A488="","",MONTH($A488))</f>
        <v/>
      </c>
      <c r="H488" s="83">
        <f>IF($A488="","",SUMPRODUCT(($B$5:$B488="Receita")*$E$5:$E488)-SUMPRODUCT((($B$5:$B488="Despesa")+($B$5:$B488="Investimento"))*$E$5:$E488))</f>
        <v/>
      </c>
    </row>
    <row r="489">
      <c r="A489" s="79" t="n"/>
      <c r="B489" s="80" t="n"/>
      <c r="C489" s="80" t="n"/>
      <c r="D489" s="80" t="n"/>
      <c r="E489" s="81" t="n"/>
      <c r="F489" s="80" t="n"/>
      <c r="G489" s="82">
        <f>IF($A489="","",MONTH($A489))</f>
        <v/>
      </c>
      <c r="H489" s="83">
        <f>IF($A489="","",SUMPRODUCT(($B$5:$B489="Receita")*$E$5:$E489)-SUMPRODUCT((($B$5:$B489="Despesa")+($B$5:$B489="Investimento"))*$E$5:$E489))</f>
        <v/>
      </c>
    </row>
    <row r="490">
      <c r="A490" s="79" t="n"/>
      <c r="B490" s="80" t="n"/>
      <c r="C490" s="80" t="n"/>
      <c r="D490" s="80" t="n"/>
      <c r="E490" s="81" t="n"/>
      <c r="F490" s="80" t="n"/>
      <c r="G490" s="82">
        <f>IF($A490="","",MONTH($A490))</f>
        <v/>
      </c>
      <c r="H490" s="83">
        <f>IF($A490="","",SUMPRODUCT(($B$5:$B490="Receita")*$E$5:$E490)-SUMPRODUCT((($B$5:$B490="Despesa")+($B$5:$B490="Investimento"))*$E$5:$E490))</f>
        <v/>
      </c>
    </row>
    <row r="491">
      <c r="A491" s="79" t="n"/>
      <c r="B491" s="80" t="n"/>
      <c r="C491" s="80" t="n"/>
      <c r="D491" s="80" t="n"/>
      <c r="E491" s="81" t="n"/>
      <c r="F491" s="80" t="n"/>
      <c r="G491" s="82">
        <f>IF($A491="","",MONTH($A491))</f>
        <v/>
      </c>
      <c r="H491" s="83">
        <f>IF($A491="","",SUMPRODUCT(($B$5:$B491="Receita")*$E$5:$E491)-SUMPRODUCT((($B$5:$B491="Despesa")+($B$5:$B491="Investimento"))*$E$5:$E491))</f>
        <v/>
      </c>
    </row>
    <row r="492">
      <c r="A492" s="79" t="n"/>
      <c r="B492" s="80" t="n"/>
      <c r="C492" s="80" t="n"/>
      <c r="D492" s="80" t="n"/>
      <c r="E492" s="81" t="n"/>
      <c r="F492" s="80" t="n"/>
      <c r="G492" s="82">
        <f>IF($A492="","",MONTH($A492))</f>
        <v/>
      </c>
      <c r="H492" s="83">
        <f>IF($A492="","",SUMPRODUCT(($B$5:$B492="Receita")*$E$5:$E492)-SUMPRODUCT((($B$5:$B492="Despesa")+($B$5:$B492="Investimento"))*$E$5:$E492))</f>
        <v/>
      </c>
    </row>
    <row r="493">
      <c r="A493" s="79" t="n"/>
      <c r="B493" s="80" t="n"/>
      <c r="C493" s="80" t="n"/>
      <c r="D493" s="80" t="n"/>
      <c r="E493" s="81" t="n"/>
      <c r="F493" s="80" t="n"/>
      <c r="G493" s="82">
        <f>IF($A493="","",MONTH($A493))</f>
        <v/>
      </c>
      <c r="H493" s="83">
        <f>IF($A493="","",SUMPRODUCT(($B$5:$B493="Receita")*$E$5:$E493)-SUMPRODUCT((($B$5:$B493="Despesa")+($B$5:$B493="Investimento"))*$E$5:$E493))</f>
        <v/>
      </c>
    </row>
    <row r="494">
      <c r="A494" s="79" t="n"/>
      <c r="B494" s="80" t="n"/>
      <c r="C494" s="80" t="n"/>
      <c r="D494" s="80" t="n"/>
      <c r="E494" s="81" t="n"/>
      <c r="F494" s="80" t="n"/>
      <c r="G494" s="82">
        <f>IF($A494="","",MONTH($A494))</f>
        <v/>
      </c>
      <c r="H494" s="83">
        <f>IF($A494="","",SUMPRODUCT(($B$5:$B494="Receita")*$E$5:$E494)-SUMPRODUCT((($B$5:$B494="Despesa")+($B$5:$B494="Investimento"))*$E$5:$E494))</f>
        <v/>
      </c>
    </row>
    <row r="495">
      <c r="A495" s="79" t="n"/>
      <c r="B495" s="80" t="n"/>
      <c r="C495" s="80" t="n"/>
      <c r="D495" s="80" t="n"/>
      <c r="E495" s="81" t="n"/>
      <c r="F495" s="80" t="n"/>
      <c r="G495" s="82">
        <f>IF($A495="","",MONTH($A495))</f>
        <v/>
      </c>
      <c r="H495" s="83">
        <f>IF($A495="","",SUMPRODUCT(($B$5:$B495="Receita")*$E$5:$E495)-SUMPRODUCT((($B$5:$B495="Despesa")+($B$5:$B495="Investimento"))*$E$5:$E495))</f>
        <v/>
      </c>
    </row>
    <row r="496">
      <c r="A496" s="79" t="n"/>
      <c r="B496" s="80" t="n"/>
      <c r="C496" s="80" t="n"/>
      <c r="D496" s="80" t="n"/>
      <c r="E496" s="81" t="n"/>
      <c r="F496" s="80" t="n"/>
      <c r="G496" s="82">
        <f>IF($A496="","",MONTH($A496))</f>
        <v/>
      </c>
      <c r="H496" s="83">
        <f>IF($A496="","",SUMPRODUCT(($B$5:$B496="Receita")*$E$5:$E496)-SUMPRODUCT((($B$5:$B496="Despesa")+($B$5:$B496="Investimento"))*$E$5:$E496))</f>
        <v/>
      </c>
    </row>
    <row r="497">
      <c r="A497" s="79" t="n"/>
      <c r="B497" s="80" t="n"/>
      <c r="C497" s="80" t="n"/>
      <c r="D497" s="80" t="n"/>
      <c r="E497" s="81" t="n"/>
      <c r="F497" s="80" t="n"/>
      <c r="G497" s="82">
        <f>IF($A497="","",MONTH($A497))</f>
        <v/>
      </c>
      <c r="H497" s="83">
        <f>IF($A497="","",SUMPRODUCT(($B$5:$B497="Receita")*$E$5:$E497)-SUMPRODUCT((($B$5:$B497="Despesa")+($B$5:$B497="Investimento"))*$E$5:$E497))</f>
        <v/>
      </c>
    </row>
    <row r="498">
      <c r="A498" s="79" t="n"/>
      <c r="B498" s="80" t="n"/>
      <c r="C498" s="80" t="n"/>
      <c r="D498" s="80" t="n"/>
      <c r="E498" s="81" t="n"/>
      <c r="F498" s="80" t="n"/>
      <c r="G498" s="82">
        <f>IF($A498="","",MONTH($A498))</f>
        <v/>
      </c>
      <c r="H498" s="83">
        <f>IF($A498="","",SUMPRODUCT(($B$5:$B498="Receita")*$E$5:$E498)-SUMPRODUCT((($B$5:$B498="Despesa")+($B$5:$B498="Investimento"))*$E$5:$E498))</f>
        <v/>
      </c>
    </row>
    <row r="499">
      <c r="A499" s="79" t="n"/>
      <c r="B499" s="80" t="n"/>
      <c r="C499" s="80" t="n"/>
      <c r="D499" s="80" t="n"/>
      <c r="E499" s="81" t="n"/>
      <c r="F499" s="80" t="n"/>
      <c r="G499" s="82">
        <f>IF($A499="","",MONTH($A499))</f>
        <v/>
      </c>
      <c r="H499" s="83">
        <f>IF($A499="","",SUMPRODUCT(($B$5:$B499="Receita")*$E$5:$E499)-SUMPRODUCT((($B$5:$B499="Despesa")+($B$5:$B499="Investimento"))*$E$5:$E499))</f>
        <v/>
      </c>
    </row>
    <row r="500">
      <c r="A500" s="79" t="n"/>
      <c r="B500" s="80" t="n"/>
      <c r="C500" s="80" t="n"/>
      <c r="D500" s="80" t="n"/>
      <c r="E500" s="81" t="n"/>
      <c r="F500" s="80" t="n"/>
      <c r="G500" s="82">
        <f>IF($A500="","",MONTH($A500))</f>
        <v/>
      </c>
      <c r="H500" s="83">
        <f>IF($A500="","",SUMPRODUCT(($B$5:$B500="Receita")*$E$5:$E500)-SUMPRODUCT((($B$5:$B500="Despesa")+($B$5:$B500="Investimento"))*$E$5:$E500))</f>
        <v/>
      </c>
    </row>
    <row r="501">
      <c r="A501" s="79" t="n"/>
      <c r="B501" s="80" t="n"/>
      <c r="C501" s="80" t="n"/>
      <c r="D501" s="80" t="n"/>
      <c r="E501" s="81" t="n"/>
      <c r="F501" s="80" t="n"/>
      <c r="G501" s="82">
        <f>IF($A501="","",MONTH($A501))</f>
        <v/>
      </c>
      <c r="H501" s="83">
        <f>IF($A501="","",SUMPRODUCT(($B$5:$B501="Receita")*$E$5:$E501)-SUMPRODUCT((($B$5:$B501="Despesa")+($B$5:$B501="Investimento"))*$E$5:$E501))</f>
        <v/>
      </c>
    </row>
    <row r="502">
      <c r="A502" s="79" t="n"/>
      <c r="B502" s="80" t="n"/>
      <c r="C502" s="80" t="n"/>
      <c r="D502" s="80" t="n"/>
      <c r="E502" s="81" t="n"/>
      <c r="F502" s="80" t="n"/>
      <c r="G502" s="82">
        <f>IF($A502="","",MONTH($A502))</f>
        <v/>
      </c>
      <c r="H502" s="83">
        <f>IF($A502="","",SUMPRODUCT(($B$5:$B502="Receita")*$E$5:$E502)-SUMPRODUCT((($B$5:$B502="Despesa")+($B$5:$B502="Investimento"))*$E$5:$E502))</f>
        <v/>
      </c>
    </row>
    <row r="503">
      <c r="A503" s="79" t="n"/>
      <c r="B503" s="80" t="n"/>
      <c r="C503" s="80" t="n"/>
      <c r="D503" s="80" t="n"/>
      <c r="E503" s="81" t="n"/>
      <c r="F503" s="80" t="n"/>
      <c r="G503" s="82">
        <f>IF($A503="","",MONTH($A503))</f>
        <v/>
      </c>
      <c r="H503" s="83">
        <f>IF($A503="","",SUMPRODUCT(($B$5:$B503="Receita")*$E$5:$E503)-SUMPRODUCT((($B$5:$B503="Despesa")+($B$5:$B503="Investimento"))*$E$5:$E503))</f>
        <v/>
      </c>
    </row>
    <row r="504">
      <c r="A504" s="79" t="n"/>
      <c r="B504" s="80" t="n"/>
      <c r="C504" s="80" t="n"/>
      <c r="D504" s="80" t="n"/>
      <c r="E504" s="81" t="n"/>
      <c r="F504" s="80" t="n"/>
      <c r="G504" s="82">
        <f>IF($A504="","",MONTH($A504))</f>
        <v/>
      </c>
      <c r="H504" s="83">
        <f>IF($A504="","",SUMPRODUCT(($B$5:$B504="Receita")*$E$5:$E504)-SUMPRODUCT((($B$5:$B504="Despesa")+($B$5:$B504="Investimento"))*$E$5:$E504))</f>
        <v/>
      </c>
    </row>
  </sheetData>
  <autoFilter ref="A4:H504"/>
  <mergeCells count="2">
    <mergeCell ref="A2:H2"/>
    <mergeCell ref="A1:G1"/>
  </mergeCells>
  <conditionalFormatting sqref="B5:B504">
    <cfRule type="cellIs" priority="1" operator="equal" dxfId="0">
      <formula>"Receita"</formula>
    </cfRule>
    <cfRule type="cellIs" priority="2" operator="equal" dxfId="1">
      <formula>"Despesa"</formula>
    </cfRule>
    <cfRule type="cellIs" priority="3" operator="equal" dxfId="2">
      <formula>"Investimento"</formula>
    </cfRule>
  </conditionalFormatting>
  <conditionalFormatting sqref="H5:H504">
    <cfRule type="cellIs" priority="4" operator="lessThan" dxfId="3">
      <formula>0</formula>
    </cfRule>
  </conditionalFormatting>
  <dataValidations count="3">
    <dataValidation sqref="B5:B504" showDropDown="0" showInputMessage="0" showErrorMessage="0" allowBlank="1" type="list">
      <formula1>=Config!$E$2:$E$4</formula1>
    </dataValidation>
    <dataValidation sqref="C5:C504" showDropDown="0" showInputMessage="0" showErrorMessage="0" allowBlank="1" type="list">
      <formula1>=Config!$G$2:$G$20</formula1>
    </dataValidation>
    <dataValidation sqref="F5:F504" showDropDown="0" showInputMessage="0" showErrorMessage="0" allowBlank="1" type="list">
      <formula1>=Config!$I$2:$I$8</formula1>
    </dataValidation>
  </dataValidations>
  <hyperlinks>
    <hyperlink ref="H1" location="'Inicio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R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 ht="34" customHeight="1">
      <c r="A1" s="84" t="inlineStr">
        <is>
          <t>📅  ORÇAMENTO DOMÉSTICO — PLANEJADO × REALIZADO</t>
        </is>
      </c>
      <c r="R1" s="85" t="inlineStr">
        <is>
          <t>🏠 Início</t>
        </is>
      </c>
    </row>
    <row r="2" ht="26" customHeight="1">
      <c r="A2" s="77" t="inlineStr">
        <is>
          <t>Defina o orçamento mensal na coluna B (células amarelas). O realizado vem da aba Lançamentos. Vermelho = mês acima do orçado. A coluna % Usado mostra o consumo do orçamento anual.</t>
        </is>
      </c>
    </row>
    <row r="3" hidden="1"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</row>
    <row r="4" ht="26" customHeight="1">
      <c r="A4" s="86" t="inlineStr">
        <is>
          <t>DESPESAS — Categoria</t>
        </is>
      </c>
      <c r="B4" s="86" t="inlineStr">
        <is>
          <t>Orçado / Mês</t>
        </is>
      </c>
      <c r="C4" s="86" t="inlineStr">
        <is>
          <t>Jan</t>
        </is>
      </c>
      <c r="D4" s="86" t="inlineStr">
        <is>
          <t>Fev</t>
        </is>
      </c>
      <c r="E4" s="86" t="inlineStr">
        <is>
          <t>Mar</t>
        </is>
      </c>
      <c r="F4" s="86" t="inlineStr">
        <is>
          <t>Abr</t>
        </is>
      </c>
      <c r="G4" s="86" t="inlineStr">
        <is>
          <t>Mai</t>
        </is>
      </c>
      <c r="H4" s="86" t="inlineStr">
        <is>
          <t>Jun</t>
        </is>
      </c>
      <c r="I4" s="86" t="inlineStr">
        <is>
          <t>Jul</t>
        </is>
      </c>
      <c r="J4" s="86" t="inlineStr">
        <is>
          <t>Ago</t>
        </is>
      </c>
      <c r="K4" s="86" t="inlineStr">
        <is>
          <t>Set</t>
        </is>
      </c>
      <c r="L4" s="86" t="inlineStr">
        <is>
          <t>Out</t>
        </is>
      </c>
      <c r="M4" s="86" t="inlineStr">
        <is>
          <t>Nov</t>
        </is>
      </c>
      <c r="N4" s="86" t="inlineStr">
        <is>
          <t>Dez</t>
        </is>
      </c>
      <c r="O4" s="86" t="inlineStr">
        <is>
          <t>Total Ano</t>
        </is>
      </c>
      <c r="P4" s="86" t="inlineStr">
        <is>
          <t>Média / Mês</t>
        </is>
      </c>
      <c r="Q4" s="86" t="inlineStr">
        <is>
          <t>Orçado / Ano</t>
        </is>
      </c>
      <c r="R4" s="86" t="inlineStr">
        <is>
          <t>% Usado</t>
        </is>
      </c>
    </row>
    <row r="5">
      <c r="A5" s="87" t="inlineStr">
        <is>
          <t>Moradia</t>
        </is>
      </c>
      <c r="B5" s="88" t="n">
        <v>2200</v>
      </c>
      <c r="C5" s="89">
        <f>SUMIFS(Lancamentos!$E$5:$E$504,Lancamentos!$B$5:$B$504,"Despesa",Lancamentos!$C$5:$C$504,$A5,Lancamentos!$G$5:$G$504,C$3)</f>
        <v/>
      </c>
      <c r="D5" s="89">
        <f>SUMIFS(Lancamentos!$E$5:$E$504,Lancamentos!$B$5:$B$504,"Despesa",Lancamentos!$C$5:$C$504,$A5,Lancamentos!$G$5:$G$504,D$3)</f>
        <v/>
      </c>
      <c r="E5" s="89">
        <f>SUMIFS(Lancamentos!$E$5:$E$504,Lancamentos!$B$5:$B$504,"Despesa",Lancamentos!$C$5:$C$504,$A5,Lancamentos!$G$5:$G$504,E$3)</f>
        <v/>
      </c>
      <c r="F5" s="89">
        <f>SUMIFS(Lancamentos!$E$5:$E$504,Lancamentos!$B$5:$B$504,"Despesa",Lancamentos!$C$5:$C$504,$A5,Lancamentos!$G$5:$G$504,F$3)</f>
        <v/>
      </c>
      <c r="G5" s="89">
        <f>SUMIFS(Lancamentos!$E$5:$E$504,Lancamentos!$B$5:$B$504,"Despesa",Lancamentos!$C$5:$C$504,$A5,Lancamentos!$G$5:$G$504,G$3)</f>
        <v/>
      </c>
      <c r="H5" s="89">
        <f>SUMIFS(Lancamentos!$E$5:$E$504,Lancamentos!$B$5:$B$504,"Despesa",Lancamentos!$C$5:$C$504,$A5,Lancamentos!$G$5:$G$504,H$3)</f>
        <v/>
      </c>
      <c r="I5" s="89">
        <f>SUMIFS(Lancamentos!$E$5:$E$504,Lancamentos!$B$5:$B$504,"Despesa",Lancamentos!$C$5:$C$504,$A5,Lancamentos!$G$5:$G$504,I$3)</f>
        <v/>
      </c>
      <c r="J5" s="89">
        <f>SUMIFS(Lancamentos!$E$5:$E$504,Lancamentos!$B$5:$B$504,"Despesa",Lancamentos!$C$5:$C$504,$A5,Lancamentos!$G$5:$G$504,J$3)</f>
        <v/>
      </c>
      <c r="K5" s="89">
        <f>SUMIFS(Lancamentos!$E$5:$E$504,Lancamentos!$B$5:$B$504,"Despesa",Lancamentos!$C$5:$C$504,$A5,Lancamentos!$G$5:$G$504,K$3)</f>
        <v/>
      </c>
      <c r="L5" s="89">
        <f>SUMIFS(Lancamentos!$E$5:$E$504,Lancamentos!$B$5:$B$504,"Despesa",Lancamentos!$C$5:$C$504,$A5,Lancamentos!$G$5:$G$504,L$3)</f>
        <v/>
      </c>
      <c r="M5" s="89">
        <f>SUMIFS(Lancamentos!$E$5:$E$504,Lancamentos!$B$5:$B$504,"Despesa",Lancamentos!$C$5:$C$504,$A5,Lancamentos!$G$5:$G$504,M$3)</f>
        <v/>
      </c>
      <c r="N5" s="89">
        <f>SUMIFS(Lancamentos!$E$5:$E$504,Lancamentos!$B$5:$B$504,"Despesa",Lancamentos!$C$5:$C$504,$A5,Lancamentos!$G$5:$G$504,N$3)</f>
        <v/>
      </c>
      <c r="O5" s="89">
        <f>SUM(C5:N5)</f>
        <v/>
      </c>
      <c r="P5" s="89">
        <f>AVERAGE(C5:N5)</f>
        <v/>
      </c>
      <c r="Q5" s="89">
        <f>B5*12</f>
        <v/>
      </c>
      <c r="R5" s="90">
        <f>IFERROR(O5/Q5,"")</f>
        <v/>
      </c>
    </row>
    <row r="6">
      <c r="A6" s="87" t="inlineStr">
        <is>
          <t>Alimentação</t>
        </is>
      </c>
      <c r="B6" s="88" t="n">
        <v>1400</v>
      </c>
      <c r="C6" s="89">
        <f>SUMIFS(Lancamentos!$E$5:$E$504,Lancamentos!$B$5:$B$504,"Despesa",Lancamentos!$C$5:$C$504,$A6,Lancamentos!$G$5:$G$504,C$3)</f>
        <v/>
      </c>
      <c r="D6" s="89">
        <f>SUMIFS(Lancamentos!$E$5:$E$504,Lancamentos!$B$5:$B$504,"Despesa",Lancamentos!$C$5:$C$504,$A6,Lancamentos!$G$5:$G$504,D$3)</f>
        <v/>
      </c>
      <c r="E6" s="89">
        <f>SUMIFS(Lancamentos!$E$5:$E$504,Lancamentos!$B$5:$B$504,"Despesa",Lancamentos!$C$5:$C$504,$A6,Lancamentos!$G$5:$G$504,E$3)</f>
        <v/>
      </c>
      <c r="F6" s="89">
        <f>SUMIFS(Lancamentos!$E$5:$E$504,Lancamentos!$B$5:$B$504,"Despesa",Lancamentos!$C$5:$C$504,$A6,Lancamentos!$G$5:$G$504,F$3)</f>
        <v/>
      </c>
      <c r="G6" s="89">
        <f>SUMIFS(Lancamentos!$E$5:$E$504,Lancamentos!$B$5:$B$504,"Despesa",Lancamentos!$C$5:$C$504,$A6,Lancamentos!$G$5:$G$504,G$3)</f>
        <v/>
      </c>
      <c r="H6" s="89">
        <f>SUMIFS(Lancamentos!$E$5:$E$504,Lancamentos!$B$5:$B$504,"Despesa",Lancamentos!$C$5:$C$504,$A6,Lancamentos!$G$5:$G$504,H$3)</f>
        <v/>
      </c>
      <c r="I6" s="89">
        <f>SUMIFS(Lancamentos!$E$5:$E$504,Lancamentos!$B$5:$B$504,"Despesa",Lancamentos!$C$5:$C$504,$A6,Lancamentos!$G$5:$G$504,I$3)</f>
        <v/>
      </c>
      <c r="J6" s="89">
        <f>SUMIFS(Lancamentos!$E$5:$E$504,Lancamentos!$B$5:$B$504,"Despesa",Lancamentos!$C$5:$C$504,$A6,Lancamentos!$G$5:$G$504,J$3)</f>
        <v/>
      </c>
      <c r="K6" s="89">
        <f>SUMIFS(Lancamentos!$E$5:$E$504,Lancamentos!$B$5:$B$504,"Despesa",Lancamentos!$C$5:$C$504,$A6,Lancamentos!$G$5:$G$504,K$3)</f>
        <v/>
      </c>
      <c r="L6" s="89">
        <f>SUMIFS(Lancamentos!$E$5:$E$504,Lancamentos!$B$5:$B$504,"Despesa",Lancamentos!$C$5:$C$504,$A6,Lancamentos!$G$5:$G$504,L$3)</f>
        <v/>
      </c>
      <c r="M6" s="89">
        <f>SUMIFS(Lancamentos!$E$5:$E$504,Lancamentos!$B$5:$B$504,"Despesa",Lancamentos!$C$5:$C$504,$A6,Lancamentos!$G$5:$G$504,M$3)</f>
        <v/>
      </c>
      <c r="N6" s="89">
        <f>SUMIFS(Lancamentos!$E$5:$E$504,Lancamentos!$B$5:$B$504,"Despesa",Lancamentos!$C$5:$C$504,$A6,Lancamentos!$G$5:$G$504,N$3)</f>
        <v/>
      </c>
      <c r="O6" s="89">
        <f>SUM(C6:N6)</f>
        <v/>
      </c>
      <c r="P6" s="89">
        <f>AVERAGE(C6:N6)</f>
        <v/>
      </c>
      <c r="Q6" s="89">
        <f>B6*12</f>
        <v/>
      </c>
      <c r="R6" s="90">
        <f>IFERROR(O6/Q6,"")</f>
        <v/>
      </c>
    </row>
    <row r="7">
      <c r="A7" s="87" t="inlineStr">
        <is>
          <t>Transporte</t>
        </is>
      </c>
      <c r="B7" s="88" t="n">
        <v>700</v>
      </c>
      <c r="C7" s="89">
        <f>SUMIFS(Lancamentos!$E$5:$E$504,Lancamentos!$B$5:$B$504,"Despesa",Lancamentos!$C$5:$C$504,$A7,Lancamentos!$G$5:$G$504,C$3)</f>
        <v/>
      </c>
      <c r="D7" s="89">
        <f>SUMIFS(Lancamentos!$E$5:$E$504,Lancamentos!$B$5:$B$504,"Despesa",Lancamentos!$C$5:$C$504,$A7,Lancamentos!$G$5:$G$504,D$3)</f>
        <v/>
      </c>
      <c r="E7" s="89">
        <f>SUMIFS(Lancamentos!$E$5:$E$504,Lancamentos!$B$5:$B$504,"Despesa",Lancamentos!$C$5:$C$504,$A7,Lancamentos!$G$5:$G$504,E$3)</f>
        <v/>
      </c>
      <c r="F7" s="89">
        <f>SUMIFS(Lancamentos!$E$5:$E$504,Lancamentos!$B$5:$B$504,"Despesa",Lancamentos!$C$5:$C$504,$A7,Lancamentos!$G$5:$G$504,F$3)</f>
        <v/>
      </c>
      <c r="G7" s="89">
        <f>SUMIFS(Lancamentos!$E$5:$E$504,Lancamentos!$B$5:$B$504,"Despesa",Lancamentos!$C$5:$C$504,$A7,Lancamentos!$G$5:$G$504,G$3)</f>
        <v/>
      </c>
      <c r="H7" s="89">
        <f>SUMIFS(Lancamentos!$E$5:$E$504,Lancamentos!$B$5:$B$504,"Despesa",Lancamentos!$C$5:$C$504,$A7,Lancamentos!$G$5:$G$504,H$3)</f>
        <v/>
      </c>
      <c r="I7" s="89">
        <f>SUMIFS(Lancamentos!$E$5:$E$504,Lancamentos!$B$5:$B$504,"Despesa",Lancamentos!$C$5:$C$504,$A7,Lancamentos!$G$5:$G$504,I$3)</f>
        <v/>
      </c>
      <c r="J7" s="89">
        <f>SUMIFS(Lancamentos!$E$5:$E$504,Lancamentos!$B$5:$B$504,"Despesa",Lancamentos!$C$5:$C$504,$A7,Lancamentos!$G$5:$G$504,J$3)</f>
        <v/>
      </c>
      <c r="K7" s="89">
        <f>SUMIFS(Lancamentos!$E$5:$E$504,Lancamentos!$B$5:$B$504,"Despesa",Lancamentos!$C$5:$C$504,$A7,Lancamentos!$G$5:$G$504,K$3)</f>
        <v/>
      </c>
      <c r="L7" s="89">
        <f>SUMIFS(Lancamentos!$E$5:$E$504,Lancamentos!$B$5:$B$504,"Despesa",Lancamentos!$C$5:$C$504,$A7,Lancamentos!$G$5:$G$504,L$3)</f>
        <v/>
      </c>
      <c r="M7" s="89">
        <f>SUMIFS(Lancamentos!$E$5:$E$504,Lancamentos!$B$5:$B$504,"Despesa",Lancamentos!$C$5:$C$504,$A7,Lancamentos!$G$5:$G$504,M$3)</f>
        <v/>
      </c>
      <c r="N7" s="89">
        <f>SUMIFS(Lancamentos!$E$5:$E$504,Lancamentos!$B$5:$B$504,"Despesa",Lancamentos!$C$5:$C$504,$A7,Lancamentos!$G$5:$G$504,N$3)</f>
        <v/>
      </c>
      <c r="O7" s="89">
        <f>SUM(C7:N7)</f>
        <v/>
      </c>
      <c r="P7" s="89">
        <f>AVERAGE(C7:N7)</f>
        <v/>
      </c>
      <c r="Q7" s="89">
        <f>B7*12</f>
        <v/>
      </c>
      <c r="R7" s="90">
        <f>IFERROR(O7/Q7,"")</f>
        <v/>
      </c>
    </row>
    <row r="8">
      <c r="A8" s="87" t="inlineStr">
        <is>
          <t>Saúde</t>
        </is>
      </c>
      <c r="B8" s="88" t="n">
        <v>600</v>
      </c>
      <c r="C8" s="89">
        <f>SUMIFS(Lancamentos!$E$5:$E$504,Lancamentos!$B$5:$B$504,"Despesa",Lancamentos!$C$5:$C$504,$A8,Lancamentos!$G$5:$G$504,C$3)</f>
        <v/>
      </c>
      <c r="D8" s="89">
        <f>SUMIFS(Lancamentos!$E$5:$E$504,Lancamentos!$B$5:$B$504,"Despesa",Lancamentos!$C$5:$C$504,$A8,Lancamentos!$G$5:$G$504,D$3)</f>
        <v/>
      </c>
      <c r="E8" s="89">
        <f>SUMIFS(Lancamentos!$E$5:$E$504,Lancamentos!$B$5:$B$504,"Despesa",Lancamentos!$C$5:$C$504,$A8,Lancamentos!$G$5:$G$504,E$3)</f>
        <v/>
      </c>
      <c r="F8" s="89">
        <f>SUMIFS(Lancamentos!$E$5:$E$504,Lancamentos!$B$5:$B$504,"Despesa",Lancamentos!$C$5:$C$504,$A8,Lancamentos!$G$5:$G$504,F$3)</f>
        <v/>
      </c>
      <c r="G8" s="89">
        <f>SUMIFS(Lancamentos!$E$5:$E$504,Lancamentos!$B$5:$B$504,"Despesa",Lancamentos!$C$5:$C$504,$A8,Lancamentos!$G$5:$G$504,G$3)</f>
        <v/>
      </c>
      <c r="H8" s="89">
        <f>SUMIFS(Lancamentos!$E$5:$E$504,Lancamentos!$B$5:$B$504,"Despesa",Lancamentos!$C$5:$C$504,$A8,Lancamentos!$G$5:$G$504,H$3)</f>
        <v/>
      </c>
      <c r="I8" s="89">
        <f>SUMIFS(Lancamentos!$E$5:$E$504,Lancamentos!$B$5:$B$504,"Despesa",Lancamentos!$C$5:$C$504,$A8,Lancamentos!$G$5:$G$504,I$3)</f>
        <v/>
      </c>
      <c r="J8" s="89">
        <f>SUMIFS(Lancamentos!$E$5:$E$504,Lancamentos!$B$5:$B$504,"Despesa",Lancamentos!$C$5:$C$504,$A8,Lancamentos!$G$5:$G$504,J$3)</f>
        <v/>
      </c>
      <c r="K8" s="89">
        <f>SUMIFS(Lancamentos!$E$5:$E$504,Lancamentos!$B$5:$B$504,"Despesa",Lancamentos!$C$5:$C$504,$A8,Lancamentos!$G$5:$G$504,K$3)</f>
        <v/>
      </c>
      <c r="L8" s="89">
        <f>SUMIFS(Lancamentos!$E$5:$E$504,Lancamentos!$B$5:$B$504,"Despesa",Lancamentos!$C$5:$C$504,$A8,Lancamentos!$G$5:$G$504,L$3)</f>
        <v/>
      </c>
      <c r="M8" s="89">
        <f>SUMIFS(Lancamentos!$E$5:$E$504,Lancamentos!$B$5:$B$504,"Despesa",Lancamentos!$C$5:$C$504,$A8,Lancamentos!$G$5:$G$504,M$3)</f>
        <v/>
      </c>
      <c r="N8" s="89">
        <f>SUMIFS(Lancamentos!$E$5:$E$504,Lancamentos!$B$5:$B$504,"Despesa",Lancamentos!$C$5:$C$504,$A8,Lancamentos!$G$5:$G$504,N$3)</f>
        <v/>
      </c>
      <c r="O8" s="89">
        <f>SUM(C8:N8)</f>
        <v/>
      </c>
      <c r="P8" s="89">
        <f>AVERAGE(C8:N8)</f>
        <v/>
      </c>
      <c r="Q8" s="89">
        <f>B8*12</f>
        <v/>
      </c>
      <c r="R8" s="90">
        <f>IFERROR(O8/Q8,"")</f>
        <v/>
      </c>
    </row>
    <row r="9">
      <c r="A9" s="87" t="inlineStr">
        <is>
          <t>Educação</t>
        </is>
      </c>
      <c r="B9" s="88" t="n">
        <v>350</v>
      </c>
      <c r="C9" s="89">
        <f>SUMIFS(Lancamentos!$E$5:$E$504,Lancamentos!$B$5:$B$504,"Despesa",Lancamentos!$C$5:$C$504,$A9,Lancamentos!$G$5:$G$504,C$3)</f>
        <v/>
      </c>
      <c r="D9" s="89">
        <f>SUMIFS(Lancamentos!$E$5:$E$504,Lancamentos!$B$5:$B$504,"Despesa",Lancamentos!$C$5:$C$504,$A9,Lancamentos!$G$5:$G$504,D$3)</f>
        <v/>
      </c>
      <c r="E9" s="89">
        <f>SUMIFS(Lancamentos!$E$5:$E$504,Lancamentos!$B$5:$B$504,"Despesa",Lancamentos!$C$5:$C$504,$A9,Lancamentos!$G$5:$G$504,E$3)</f>
        <v/>
      </c>
      <c r="F9" s="89">
        <f>SUMIFS(Lancamentos!$E$5:$E$504,Lancamentos!$B$5:$B$504,"Despesa",Lancamentos!$C$5:$C$504,$A9,Lancamentos!$G$5:$G$504,F$3)</f>
        <v/>
      </c>
      <c r="G9" s="89">
        <f>SUMIFS(Lancamentos!$E$5:$E$504,Lancamentos!$B$5:$B$504,"Despesa",Lancamentos!$C$5:$C$504,$A9,Lancamentos!$G$5:$G$504,G$3)</f>
        <v/>
      </c>
      <c r="H9" s="89">
        <f>SUMIFS(Lancamentos!$E$5:$E$504,Lancamentos!$B$5:$B$504,"Despesa",Lancamentos!$C$5:$C$504,$A9,Lancamentos!$G$5:$G$504,H$3)</f>
        <v/>
      </c>
      <c r="I9" s="89">
        <f>SUMIFS(Lancamentos!$E$5:$E$504,Lancamentos!$B$5:$B$504,"Despesa",Lancamentos!$C$5:$C$504,$A9,Lancamentos!$G$5:$G$504,I$3)</f>
        <v/>
      </c>
      <c r="J9" s="89">
        <f>SUMIFS(Lancamentos!$E$5:$E$504,Lancamentos!$B$5:$B$504,"Despesa",Lancamentos!$C$5:$C$504,$A9,Lancamentos!$G$5:$G$504,J$3)</f>
        <v/>
      </c>
      <c r="K9" s="89">
        <f>SUMIFS(Lancamentos!$E$5:$E$504,Lancamentos!$B$5:$B$504,"Despesa",Lancamentos!$C$5:$C$504,$A9,Lancamentos!$G$5:$G$504,K$3)</f>
        <v/>
      </c>
      <c r="L9" s="89">
        <f>SUMIFS(Lancamentos!$E$5:$E$504,Lancamentos!$B$5:$B$504,"Despesa",Lancamentos!$C$5:$C$504,$A9,Lancamentos!$G$5:$G$504,L$3)</f>
        <v/>
      </c>
      <c r="M9" s="89">
        <f>SUMIFS(Lancamentos!$E$5:$E$504,Lancamentos!$B$5:$B$504,"Despesa",Lancamentos!$C$5:$C$504,$A9,Lancamentos!$G$5:$G$504,M$3)</f>
        <v/>
      </c>
      <c r="N9" s="89">
        <f>SUMIFS(Lancamentos!$E$5:$E$504,Lancamentos!$B$5:$B$504,"Despesa",Lancamentos!$C$5:$C$504,$A9,Lancamentos!$G$5:$G$504,N$3)</f>
        <v/>
      </c>
      <c r="O9" s="89">
        <f>SUM(C9:N9)</f>
        <v/>
      </c>
      <c r="P9" s="89">
        <f>AVERAGE(C9:N9)</f>
        <v/>
      </c>
      <c r="Q9" s="89">
        <f>B9*12</f>
        <v/>
      </c>
      <c r="R9" s="90">
        <f>IFERROR(O9/Q9,"")</f>
        <v/>
      </c>
    </row>
    <row r="10">
      <c r="A10" s="87" t="inlineStr">
        <is>
          <t>Lazer</t>
        </is>
      </c>
      <c r="B10" s="88" t="n">
        <v>450</v>
      </c>
      <c r="C10" s="89">
        <f>SUMIFS(Lancamentos!$E$5:$E$504,Lancamentos!$B$5:$B$504,"Despesa",Lancamentos!$C$5:$C$504,$A10,Lancamentos!$G$5:$G$504,C$3)</f>
        <v/>
      </c>
      <c r="D10" s="89">
        <f>SUMIFS(Lancamentos!$E$5:$E$504,Lancamentos!$B$5:$B$504,"Despesa",Lancamentos!$C$5:$C$504,$A10,Lancamentos!$G$5:$G$504,D$3)</f>
        <v/>
      </c>
      <c r="E10" s="89">
        <f>SUMIFS(Lancamentos!$E$5:$E$504,Lancamentos!$B$5:$B$504,"Despesa",Lancamentos!$C$5:$C$504,$A10,Lancamentos!$G$5:$G$504,E$3)</f>
        <v/>
      </c>
      <c r="F10" s="89">
        <f>SUMIFS(Lancamentos!$E$5:$E$504,Lancamentos!$B$5:$B$504,"Despesa",Lancamentos!$C$5:$C$504,$A10,Lancamentos!$G$5:$G$504,F$3)</f>
        <v/>
      </c>
      <c r="G10" s="89">
        <f>SUMIFS(Lancamentos!$E$5:$E$504,Lancamentos!$B$5:$B$504,"Despesa",Lancamentos!$C$5:$C$504,$A10,Lancamentos!$G$5:$G$504,G$3)</f>
        <v/>
      </c>
      <c r="H10" s="89">
        <f>SUMIFS(Lancamentos!$E$5:$E$504,Lancamentos!$B$5:$B$504,"Despesa",Lancamentos!$C$5:$C$504,$A10,Lancamentos!$G$5:$G$504,H$3)</f>
        <v/>
      </c>
      <c r="I10" s="89">
        <f>SUMIFS(Lancamentos!$E$5:$E$504,Lancamentos!$B$5:$B$504,"Despesa",Lancamentos!$C$5:$C$504,$A10,Lancamentos!$G$5:$G$504,I$3)</f>
        <v/>
      </c>
      <c r="J10" s="89">
        <f>SUMIFS(Lancamentos!$E$5:$E$504,Lancamentos!$B$5:$B$504,"Despesa",Lancamentos!$C$5:$C$504,$A10,Lancamentos!$G$5:$G$504,J$3)</f>
        <v/>
      </c>
      <c r="K10" s="89">
        <f>SUMIFS(Lancamentos!$E$5:$E$504,Lancamentos!$B$5:$B$504,"Despesa",Lancamentos!$C$5:$C$504,$A10,Lancamentos!$G$5:$G$504,K$3)</f>
        <v/>
      </c>
      <c r="L10" s="89">
        <f>SUMIFS(Lancamentos!$E$5:$E$504,Lancamentos!$B$5:$B$504,"Despesa",Lancamentos!$C$5:$C$504,$A10,Lancamentos!$G$5:$G$504,L$3)</f>
        <v/>
      </c>
      <c r="M10" s="89">
        <f>SUMIFS(Lancamentos!$E$5:$E$504,Lancamentos!$B$5:$B$504,"Despesa",Lancamentos!$C$5:$C$504,$A10,Lancamentos!$G$5:$G$504,M$3)</f>
        <v/>
      </c>
      <c r="N10" s="89">
        <f>SUMIFS(Lancamentos!$E$5:$E$504,Lancamentos!$B$5:$B$504,"Despesa",Lancamentos!$C$5:$C$504,$A10,Lancamentos!$G$5:$G$504,N$3)</f>
        <v/>
      </c>
      <c r="O10" s="89">
        <f>SUM(C10:N10)</f>
        <v/>
      </c>
      <c r="P10" s="89">
        <f>AVERAGE(C10:N10)</f>
        <v/>
      </c>
      <c r="Q10" s="89">
        <f>B10*12</f>
        <v/>
      </c>
      <c r="R10" s="90">
        <f>IFERROR(O10/Q10,"")</f>
        <v/>
      </c>
    </row>
    <row r="11">
      <c r="A11" s="87" t="inlineStr">
        <is>
          <t>Vestuário</t>
        </is>
      </c>
      <c r="B11" s="88" t="n">
        <v>250</v>
      </c>
      <c r="C11" s="89">
        <f>SUMIFS(Lancamentos!$E$5:$E$504,Lancamentos!$B$5:$B$504,"Despesa",Lancamentos!$C$5:$C$504,$A11,Lancamentos!$G$5:$G$504,C$3)</f>
        <v/>
      </c>
      <c r="D11" s="89">
        <f>SUMIFS(Lancamentos!$E$5:$E$504,Lancamentos!$B$5:$B$504,"Despesa",Lancamentos!$C$5:$C$504,$A11,Lancamentos!$G$5:$G$504,D$3)</f>
        <v/>
      </c>
      <c r="E11" s="89">
        <f>SUMIFS(Lancamentos!$E$5:$E$504,Lancamentos!$B$5:$B$504,"Despesa",Lancamentos!$C$5:$C$504,$A11,Lancamentos!$G$5:$G$504,E$3)</f>
        <v/>
      </c>
      <c r="F11" s="89">
        <f>SUMIFS(Lancamentos!$E$5:$E$504,Lancamentos!$B$5:$B$504,"Despesa",Lancamentos!$C$5:$C$504,$A11,Lancamentos!$G$5:$G$504,F$3)</f>
        <v/>
      </c>
      <c r="G11" s="89">
        <f>SUMIFS(Lancamentos!$E$5:$E$504,Lancamentos!$B$5:$B$504,"Despesa",Lancamentos!$C$5:$C$504,$A11,Lancamentos!$G$5:$G$504,G$3)</f>
        <v/>
      </c>
      <c r="H11" s="89">
        <f>SUMIFS(Lancamentos!$E$5:$E$504,Lancamentos!$B$5:$B$504,"Despesa",Lancamentos!$C$5:$C$504,$A11,Lancamentos!$G$5:$G$504,H$3)</f>
        <v/>
      </c>
      <c r="I11" s="89">
        <f>SUMIFS(Lancamentos!$E$5:$E$504,Lancamentos!$B$5:$B$504,"Despesa",Lancamentos!$C$5:$C$504,$A11,Lancamentos!$G$5:$G$504,I$3)</f>
        <v/>
      </c>
      <c r="J11" s="89">
        <f>SUMIFS(Lancamentos!$E$5:$E$504,Lancamentos!$B$5:$B$504,"Despesa",Lancamentos!$C$5:$C$504,$A11,Lancamentos!$G$5:$G$504,J$3)</f>
        <v/>
      </c>
      <c r="K11" s="89">
        <f>SUMIFS(Lancamentos!$E$5:$E$504,Lancamentos!$B$5:$B$504,"Despesa",Lancamentos!$C$5:$C$504,$A11,Lancamentos!$G$5:$G$504,K$3)</f>
        <v/>
      </c>
      <c r="L11" s="89">
        <f>SUMIFS(Lancamentos!$E$5:$E$504,Lancamentos!$B$5:$B$504,"Despesa",Lancamentos!$C$5:$C$504,$A11,Lancamentos!$G$5:$G$504,L$3)</f>
        <v/>
      </c>
      <c r="M11" s="89">
        <f>SUMIFS(Lancamentos!$E$5:$E$504,Lancamentos!$B$5:$B$504,"Despesa",Lancamentos!$C$5:$C$504,$A11,Lancamentos!$G$5:$G$504,M$3)</f>
        <v/>
      </c>
      <c r="N11" s="89">
        <f>SUMIFS(Lancamentos!$E$5:$E$504,Lancamentos!$B$5:$B$504,"Despesa",Lancamentos!$C$5:$C$504,$A11,Lancamentos!$G$5:$G$504,N$3)</f>
        <v/>
      </c>
      <c r="O11" s="89">
        <f>SUM(C11:N11)</f>
        <v/>
      </c>
      <c r="P11" s="89">
        <f>AVERAGE(C11:N11)</f>
        <v/>
      </c>
      <c r="Q11" s="89">
        <f>B11*12</f>
        <v/>
      </c>
      <c r="R11" s="90">
        <f>IFERROR(O11/Q11,"")</f>
        <v/>
      </c>
    </row>
    <row r="12">
      <c r="A12" s="87" t="inlineStr">
        <is>
          <t>Assinaturas e Serviços</t>
        </is>
      </c>
      <c r="B12" s="88" t="n">
        <v>200</v>
      </c>
      <c r="C12" s="89">
        <f>SUMIFS(Lancamentos!$E$5:$E$504,Lancamentos!$B$5:$B$504,"Despesa",Lancamentos!$C$5:$C$504,$A12,Lancamentos!$G$5:$G$504,C$3)</f>
        <v/>
      </c>
      <c r="D12" s="89">
        <f>SUMIFS(Lancamentos!$E$5:$E$504,Lancamentos!$B$5:$B$504,"Despesa",Lancamentos!$C$5:$C$504,$A12,Lancamentos!$G$5:$G$504,D$3)</f>
        <v/>
      </c>
      <c r="E12" s="89">
        <f>SUMIFS(Lancamentos!$E$5:$E$504,Lancamentos!$B$5:$B$504,"Despesa",Lancamentos!$C$5:$C$504,$A12,Lancamentos!$G$5:$G$504,E$3)</f>
        <v/>
      </c>
      <c r="F12" s="89">
        <f>SUMIFS(Lancamentos!$E$5:$E$504,Lancamentos!$B$5:$B$504,"Despesa",Lancamentos!$C$5:$C$504,$A12,Lancamentos!$G$5:$G$504,F$3)</f>
        <v/>
      </c>
      <c r="G12" s="89">
        <f>SUMIFS(Lancamentos!$E$5:$E$504,Lancamentos!$B$5:$B$504,"Despesa",Lancamentos!$C$5:$C$504,$A12,Lancamentos!$G$5:$G$504,G$3)</f>
        <v/>
      </c>
      <c r="H12" s="89">
        <f>SUMIFS(Lancamentos!$E$5:$E$504,Lancamentos!$B$5:$B$504,"Despesa",Lancamentos!$C$5:$C$504,$A12,Lancamentos!$G$5:$G$504,H$3)</f>
        <v/>
      </c>
      <c r="I12" s="89">
        <f>SUMIFS(Lancamentos!$E$5:$E$504,Lancamentos!$B$5:$B$504,"Despesa",Lancamentos!$C$5:$C$504,$A12,Lancamentos!$G$5:$G$504,I$3)</f>
        <v/>
      </c>
      <c r="J12" s="89">
        <f>SUMIFS(Lancamentos!$E$5:$E$504,Lancamentos!$B$5:$B$504,"Despesa",Lancamentos!$C$5:$C$504,$A12,Lancamentos!$G$5:$G$504,J$3)</f>
        <v/>
      </c>
      <c r="K12" s="89">
        <f>SUMIFS(Lancamentos!$E$5:$E$504,Lancamentos!$B$5:$B$504,"Despesa",Lancamentos!$C$5:$C$504,$A12,Lancamentos!$G$5:$G$504,K$3)</f>
        <v/>
      </c>
      <c r="L12" s="89">
        <f>SUMIFS(Lancamentos!$E$5:$E$504,Lancamentos!$B$5:$B$504,"Despesa",Lancamentos!$C$5:$C$504,$A12,Lancamentos!$G$5:$G$504,L$3)</f>
        <v/>
      </c>
      <c r="M12" s="89">
        <f>SUMIFS(Lancamentos!$E$5:$E$504,Lancamentos!$B$5:$B$504,"Despesa",Lancamentos!$C$5:$C$504,$A12,Lancamentos!$G$5:$G$504,M$3)</f>
        <v/>
      </c>
      <c r="N12" s="89">
        <f>SUMIFS(Lancamentos!$E$5:$E$504,Lancamentos!$B$5:$B$504,"Despesa",Lancamentos!$C$5:$C$504,$A12,Lancamentos!$G$5:$G$504,N$3)</f>
        <v/>
      </c>
      <c r="O12" s="89">
        <f>SUM(C12:N12)</f>
        <v/>
      </c>
      <c r="P12" s="89">
        <f>AVERAGE(C12:N12)</f>
        <v/>
      </c>
      <c r="Q12" s="89">
        <f>B12*12</f>
        <v/>
      </c>
      <c r="R12" s="90">
        <f>IFERROR(O12/Q12,"")</f>
        <v/>
      </c>
    </row>
    <row r="13">
      <c r="A13" s="87" t="inlineStr">
        <is>
          <t>Dívidas e Empréstimos</t>
        </is>
      </c>
      <c r="B13" s="88" t="n">
        <v>0</v>
      </c>
      <c r="C13" s="89">
        <f>SUMIFS(Lancamentos!$E$5:$E$504,Lancamentos!$B$5:$B$504,"Despesa",Lancamentos!$C$5:$C$504,$A13,Lancamentos!$G$5:$G$504,C$3)</f>
        <v/>
      </c>
      <c r="D13" s="89">
        <f>SUMIFS(Lancamentos!$E$5:$E$504,Lancamentos!$B$5:$B$504,"Despesa",Lancamentos!$C$5:$C$504,$A13,Lancamentos!$G$5:$G$504,D$3)</f>
        <v/>
      </c>
      <c r="E13" s="89">
        <f>SUMIFS(Lancamentos!$E$5:$E$504,Lancamentos!$B$5:$B$504,"Despesa",Lancamentos!$C$5:$C$504,$A13,Lancamentos!$G$5:$G$504,E$3)</f>
        <v/>
      </c>
      <c r="F13" s="89">
        <f>SUMIFS(Lancamentos!$E$5:$E$504,Lancamentos!$B$5:$B$504,"Despesa",Lancamentos!$C$5:$C$504,$A13,Lancamentos!$G$5:$G$504,F$3)</f>
        <v/>
      </c>
      <c r="G13" s="89">
        <f>SUMIFS(Lancamentos!$E$5:$E$504,Lancamentos!$B$5:$B$504,"Despesa",Lancamentos!$C$5:$C$504,$A13,Lancamentos!$G$5:$G$504,G$3)</f>
        <v/>
      </c>
      <c r="H13" s="89">
        <f>SUMIFS(Lancamentos!$E$5:$E$504,Lancamentos!$B$5:$B$504,"Despesa",Lancamentos!$C$5:$C$504,$A13,Lancamentos!$G$5:$G$504,H$3)</f>
        <v/>
      </c>
      <c r="I13" s="89">
        <f>SUMIFS(Lancamentos!$E$5:$E$504,Lancamentos!$B$5:$B$504,"Despesa",Lancamentos!$C$5:$C$504,$A13,Lancamentos!$G$5:$G$504,I$3)</f>
        <v/>
      </c>
      <c r="J13" s="89">
        <f>SUMIFS(Lancamentos!$E$5:$E$504,Lancamentos!$B$5:$B$504,"Despesa",Lancamentos!$C$5:$C$504,$A13,Lancamentos!$G$5:$G$504,J$3)</f>
        <v/>
      </c>
      <c r="K13" s="89">
        <f>SUMIFS(Lancamentos!$E$5:$E$504,Lancamentos!$B$5:$B$504,"Despesa",Lancamentos!$C$5:$C$504,$A13,Lancamentos!$G$5:$G$504,K$3)</f>
        <v/>
      </c>
      <c r="L13" s="89">
        <f>SUMIFS(Lancamentos!$E$5:$E$504,Lancamentos!$B$5:$B$504,"Despesa",Lancamentos!$C$5:$C$504,$A13,Lancamentos!$G$5:$G$504,L$3)</f>
        <v/>
      </c>
      <c r="M13" s="89">
        <f>SUMIFS(Lancamentos!$E$5:$E$504,Lancamentos!$B$5:$B$504,"Despesa",Lancamentos!$C$5:$C$504,$A13,Lancamentos!$G$5:$G$504,M$3)</f>
        <v/>
      </c>
      <c r="N13" s="89">
        <f>SUMIFS(Lancamentos!$E$5:$E$504,Lancamentos!$B$5:$B$504,"Despesa",Lancamentos!$C$5:$C$504,$A13,Lancamentos!$G$5:$G$504,N$3)</f>
        <v/>
      </c>
      <c r="O13" s="89">
        <f>SUM(C13:N13)</f>
        <v/>
      </c>
      <c r="P13" s="89">
        <f>AVERAGE(C13:N13)</f>
        <v/>
      </c>
      <c r="Q13" s="89">
        <f>B13*12</f>
        <v/>
      </c>
      <c r="R13" s="90">
        <f>IFERROR(O13/Q13,"")</f>
        <v/>
      </c>
    </row>
    <row r="14">
      <c r="A14" s="87" t="inlineStr">
        <is>
          <t>Pets</t>
        </is>
      </c>
      <c r="B14" s="88" t="n">
        <v>250</v>
      </c>
      <c r="C14" s="89">
        <f>SUMIFS(Lancamentos!$E$5:$E$504,Lancamentos!$B$5:$B$504,"Despesa",Lancamentos!$C$5:$C$504,$A14,Lancamentos!$G$5:$G$504,C$3)</f>
        <v/>
      </c>
      <c r="D14" s="89">
        <f>SUMIFS(Lancamentos!$E$5:$E$504,Lancamentos!$B$5:$B$504,"Despesa",Lancamentos!$C$5:$C$504,$A14,Lancamentos!$G$5:$G$504,D$3)</f>
        <v/>
      </c>
      <c r="E14" s="89">
        <f>SUMIFS(Lancamentos!$E$5:$E$504,Lancamentos!$B$5:$B$504,"Despesa",Lancamentos!$C$5:$C$504,$A14,Lancamentos!$G$5:$G$504,E$3)</f>
        <v/>
      </c>
      <c r="F14" s="89">
        <f>SUMIFS(Lancamentos!$E$5:$E$504,Lancamentos!$B$5:$B$504,"Despesa",Lancamentos!$C$5:$C$504,$A14,Lancamentos!$G$5:$G$504,F$3)</f>
        <v/>
      </c>
      <c r="G14" s="89">
        <f>SUMIFS(Lancamentos!$E$5:$E$504,Lancamentos!$B$5:$B$504,"Despesa",Lancamentos!$C$5:$C$504,$A14,Lancamentos!$G$5:$G$504,G$3)</f>
        <v/>
      </c>
      <c r="H14" s="89">
        <f>SUMIFS(Lancamentos!$E$5:$E$504,Lancamentos!$B$5:$B$504,"Despesa",Lancamentos!$C$5:$C$504,$A14,Lancamentos!$G$5:$G$504,H$3)</f>
        <v/>
      </c>
      <c r="I14" s="89">
        <f>SUMIFS(Lancamentos!$E$5:$E$504,Lancamentos!$B$5:$B$504,"Despesa",Lancamentos!$C$5:$C$504,$A14,Lancamentos!$G$5:$G$504,I$3)</f>
        <v/>
      </c>
      <c r="J14" s="89">
        <f>SUMIFS(Lancamentos!$E$5:$E$504,Lancamentos!$B$5:$B$504,"Despesa",Lancamentos!$C$5:$C$504,$A14,Lancamentos!$G$5:$G$504,J$3)</f>
        <v/>
      </c>
      <c r="K14" s="89">
        <f>SUMIFS(Lancamentos!$E$5:$E$504,Lancamentos!$B$5:$B$504,"Despesa",Lancamentos!$C$5:$C$504,$A14,Lancamentos!$G$5:$G$504,K$3)</f>
        <v/>
      </c>
      <c r="L14" s="89">
        <f>SUMIFS(Lancamentos!$E$5:$E$504,Lancamentos!$B$5:$B$504,"Despesa",Lancamentos!$C$5:$C$504,$A14,Lancamentos!$G$5:$G$504,L$3)</f>
        <v/>
      </c>
      <c r="M14" s="89">
        <f>SUMIFS(Lancamentos!$E$5:$E$504,Lancamentos!$B$5:$B$504,"Despesa",Lancamentos!$C$5:$C$504,$A14,Lancamentos!$G$5:$G$504,M$3)</f>
        <v/>
      </c>
      <c r="N14" s="89">
        <f>SUMIFS(Lancamentos!$E$5:$E$504,Lancamentos!$B$5:$B$504,"Despesa",Lancamentos!$C$5:$C$504,$A14,Lancamentos!$G$5:$G$504,N$3)</f>
        <v/>
      </c>
      <c r="O14" s="89">
        <f>SUM(C14:N14)</f>
        <v/>
      </c>
      <c r="P14" s="89">
        <f>AVERAGE(C14:N14)</f>
        <v/>
      </c>
      <c r="Q14" s="89">
        <f>B14*12</f>
        <v/>
      </c>
      <c r="R14" s="90">
        <f>IFERROR(O14/Q14,"")</f>
        <v/>
      </c>
    </row>
    <row r="15">
      <c r="A15" s="87" t="inlineStr">
        <is>
          <t>Doações</t>
        </is>
      </c>
      <c r="B15" s="88" t="n">
        <v>100</v>
      </c>
      <c r="C15" s="89">
        <f>SUMIFS(Lancamentos!$E$5:$E$504,Lancamentos!$B$5:$B$504,"Despesa",Lancamentos!$C$5:$C$504,$A15,Lancamentos!$G$5:$G$504,C$3)</f>
        <v/>
      </c>
      <c r="D15" s="89">
        <f>SUMIFS(Lancamentos!$E$5:$E$504,Lancamentos!$B$5:$B$504,"Despesa",Lancamentos!$C$5:$C$504,$A15,Lancamentos!$G$5:$G$504,D$3)</f>
        <v/>
      </c>
      <c r="E15" s="89">
        <f>SUMIFS(Lancamentos!$E$5:$E$504,Lancamentos!$B$5:$B$504,"Despesa",Lancamentos!$C$5:$C$504,$A15,Lancamentos!$G$5:$G$504,E$3)</f>
        <v/>
      </c>
      <c r="F15" s="89">
        <f>SUMIFS(Lancamentos!$E$5:$E$504,Lancamentos!$B$5:$B$504,"Despesa",Lancamentos!$C$5:$C$504,$A15,Lancamentos!$G$5:$G$504,F$3)</f>
        <v/>
      </c>
      <c r="G15" s="89">
        <f>SUMIFS(Lancamentos!$E$5:$E$504,Lancamentos!$B$5:$B$504,"Despesa",Lancamentos!$C$5:$C$504,$A15,Lancamentos!$G$5:$G$504,G$3)</f>
        <v/>
      </c>
      <c r="H15" s="89">
        <f>SUMIFS(Lancamentos!$E$5:$E$504,Lancamentos!$B$5:$B$504,"Despesa",Lancamentos!$C$5:$C$504,$A15,Lancamentos!$G$5:$G$504,H$3)</f>
        <v/>
      </c>
      <c r="I15" s="89">
        <f>SUMIFS(Lancamentos!$E$5:$E$504,Lancamentos!$B$5:$B$504,"Despesa",Lancamentos!$C$5:$C$504,$A15,Lancamentos!$G$5:$G$504,I$3)</f>
        <v/>
      </c>
      <c r="J15" s="89">
        <f>SUMIFS(Lancamentos!$E$5:$E$504,Lancamentos!$B$5:$B$504,"Despesa",Lancamentos!$C$5:$C$504,$A15,Lancamentos!$G$5:$G$504,J$3)</f>
        <v/>
      </c>
      <c r="K15" s="89">
        <f>SUMIFS(Lancamentos!$E$5:$E$504,Lancamentos!$B$5:$B$504,"Despesa",Lancamentos!$C$5:$C$504,$A15,Lancamentos!$G$5:$G$504,K$3)</f>
        <v/>
      </c>
      <c r="L15" s="89">
        <f>SUMIFS(Lancamentos!$E$5:$E$504,Lancamentos!$B$5:$B$504,"Despesa",Lancamentos!$C$5:$C$504,$A15,Lancamentos!$G$5:$G$504,L$3)</f>
        <v/>
      </c>
      <c r="M15" s="89">
        <f>SUMIFS(Lancamentos!$E$5:$E$504,Lancamentos!$B$5:$B$504,"Despesa",Lancamentos!$C$5:$C$504,$A15,Lancamentos!$G$5:$G$504,M$3)</f>
        <v/>
      </c>
      <c r="N15" s="89">
        <f>SUMIFS(Lancamentos!$E$5:$E$504,Lancamentos!$B$5:$B$504,"Despesa",Lancamentos!$C$5:$C$504,$A15,Lancamentos!$G$5:$G$504,N$3)</f>
        <v/>
      </c>
      <c r="O15" s="89">
        <f>SUM(C15:N15)</f>
        <v/>
      </c>
      <c r="P15" s="89">
        <f>AVERAGE(C15:N15)</f>
        <v/>
      </c>
      <c r="Q15" s="89">
        <f>B15*12</f>
        <v/>
      </c>
      <c r="R15" s="90">
        <f>IFERROR(O15/Q15,"")</f>
        <v/>
      </c>
    </row>
    <row r="16">
      <c r="A16" s="87" t="inlineStr">
        <is>
          <t>Outros</t>
        </is>
      </c>
      <c r="B16" s="88" t="n">
        <v>250</v>
      </c>
      <c r="C16" s="89">
        <f>SUMIFS(Lancamentos!$E$5:$E$504,Lancamentos!$B$5:$B$504,"Despesa",Lancamentos!$C$5:$C$504,$A16,Lancamentos!$G$5:$G$504,C$3)</f>
        <v/>
      </c>
      <c r="D16" s="89">
        <f>SUMIFS(Lancamentos!$E$5:$E$504,Lancamentos!$B$5:$B$504,"Despesa",Lancamentos!$C$5:$C$504,$A16,Lancamentos!$G$5:$G$504,D$3)</f>
        <v/>
      </c>
      <c r="E16" s="89">
        <f>SUMIFS(Lancamentos!$E$5:$E$504,Lancamentos!$B$5:$B$504,"Despesa",Lancamentos!$C$5:$C$504,$A16,Lancamentos!$G$5:$G$504,E$3)</f>
        <v/>
      </c>
      <c r="F16" s="89">
        <f>SUMIFS(Lancamentos!$E$5:$E$504,Lancamentos!$B$5:$B$504,"Despesa",Lancamentos!$C$5:$C$504,$A16,Lancamentos!$G$5:$G$504,F$3)</f>
        <v/>
      </c>
      <c r="G16" s="89">
        <f>SUMIFS(Lancamentos!$E$5:$E$504,Lancamentos!$B$5:$B$504,"Despesa",Lancamentos!$C$5:$C$504,$A16,Lancamentos!$G$5:$G$504,G$3)</f>
        <v/>
      </c>
      <c r="H16" s="89">
        <f>SUMIFS(Lancamentos!$E$5:$E$504,Lancamentos!$B$5:$B$504,"Despesa",Lancamentos!$C$5:$C$504,$A16,Lancamentos!$G$5:$G$504,H$3)</f>
        <v/>
      </c>
      <c r="I16" s="89">
        <f>SUMIFS(Lancamentos!$E$5:$E$504,Lancamentos!$B$5:$B$504,"Despesa",Lancamentos!$C$5:$C$504,$A16,Lancamentos!$G$5:$G$504,I$3)</f>
        <v/>
      </c>
      <c r="J16" s="89">
        <f>SUMIFS(Lancamentos!$E$5:$E$504,Lancamentos!$B$5:$B$504,"Despesa",Lancamentos!$C$5:$C$504,$A16,Lancamentos!$G$5:$G$504,J$3)</f>
        <v/>
      </c>
      <c r="K16" s="89">
        <f>SUMIFS(Lancamentos!$E$5:$E$504,Lancamentos!$B$5:$B$504,"Despesa",Lancamentos!$C$5:$C$504,$A16,Lancamentos!$G$5:$G$504,K$3)</f>
        <v/>
      </c>
      <c r="L16" s="89">
        <f>SUMIFS(Lancamentos!$E$5:$E$504,Lancamentos!$B$5:$B$504,"Despesa",Lancamentos!$C$5:$C$504,$A16,Lancamentos!$G$5:$G$504,L$3)</f>
        <v/>
      </c>
      <c r="M16" s="89">
        <f>SUMIFS(Lancamentos!$E$5:$E$504,Lancamentos!$B$5:$B$504,"Despesa",Lancamentos!$C$5:$C$504,$A16,Lancamentos!$G$5:$G$504,M$3)</f>
        <v/>
      </c>
      <c r="N16" s="89">
        <f>SUMIFS(Lancamentos!$E$5:$E$504,Lancamentos!$B$5:$B$504,"Despesa",Lancamentos!$C$5:$C$504,$A16,Lancamentos!$G$5:$G$504,N$3)</f>
        <v/>
      </c>
      <c r="O16" s="89">
        <f>SUM(C16:N16)</f>
        <v/>
      </c>
      <c r="P16" s="89">
        <f>AVERAGE(C16:N16)</f>
        <v/>
      </c>
      <c r="Q16" s="89">
        <f>B16*12</f>
        <v/>
      </c>
      <c r="R16" s="90">
        <f>IFERROR(O16/Q16,"")</f>
        <v/>
      </c>
    </row>
    <row r="17">
      <c r="A17" s="91" t="inlineStr">
        <is>
          <t>TOTAL DE DESPESAS</t>
        </is>
      </c>
      <c r="B17" s="92">
        <f>SUM(B5:B16)</f>
        <v/>
      </c>
      <c r="C17" s="92">
        <f>SUM(C5:C16)</f>
        <v/>
      </c>
      <c r="D17" s="92">
        <f>SUM(D5:D16)</f>
        <v/>
      </c>
      <c r="E17" s="92">
        <f>SUM(E5:E16)</f>
        <v/>
      </c>
      <c r="F17" s="92">
        <f>SUM(F5:F16)</f>
        <v/>
      </c>
      <c r="G17" s="92">
        <f>SUM(G5:G16)</f>
        <v/>
      </c>
      <c r="H17" s="92">
        <f>SUM(H5:H16)</f>
        <v/>
      </c>
      <c r="I17" s="92">
        <f>SUM(I5:I16)</f>
        <v/>
      </c>
      <c r="J17" s="92">
        <f>SUM(J5:J16)</f>
        <v/>
      </c>
      <c r="K17" s="92">
        <f>SUM(K5:K16)</f>
        <v/>
      </c>
      <c r="L17" s="92">
        <f>SUM(L5:L16)</f>
        <v/>
      </c>
      <c r="M17" s="92">
        <f>SUM(M5:M16)</f>
        <v/>
      </c>
      <c r="N17" s="92">
        <f>SUM(N5:N16)</f>
        <v/>
      </c>
      <c r="O17" s="92">
        <f>SUM(C17:N17)</f>
        <v/>
      </c>
      <c r="P17" s="92">
        <f>AVERAGE(C17:N17)</f>
        <v/>
      </c>
      <c r="Q17" s="92">
        <f>B17*12</f>
        <v/>
      </c>
      <c r="R17" s="93">
        <f>IFERROR(O17/Q17,"")</f>
        <v/>
      </c>
    </row>
    <row r="1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</row>
    <row r="19" ht="22" customHeight="1">
      <c r="A19" s="94" t="inlineStr">
        <is>
          <t>RECEITAS</t>
        </is>
      </c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</row>
    <row r="20">
      <c r="A20" s="87" t="inlineStr">
        <is>
          <t>Salário</t>
        </is>
      </c>
      <c r="B20" s="69" t="n"/>
      <c r="C20" s="89">
        <f>SUMIFS(Lancamentos!$E$5:$E$504,Lancamentos!$B$5:$B$504,"Receita",Lancamentos!$C$5:$C$504,$A20,Lancamentos!$G$5:$G$504,C$3)</f>
        <v/>
      </c>
      <c r="D20" s="89">
        <f>SUMIFS(Lancamentos!$E$5:$E$504,Lancamentos!$B$5:$B$504,"Receita",Lancamentos!$C$5:$C$504,$A20,Lancamentos!$G$5:$G$504,D$3)</f>
        <v/>
      </c>
      <c r="E20" s="89">
        <f>SUMIFS(Lancamentos!$E$5:$E$504,Lancamentos!$B$5:$B$504,"Receita",Lancamentos!$C$5:$C$504,$A20,Lancamentos!$G$5:$G$504,E$3)</f>
        <v/>
      </c>
      <c r="F20" s="89">
        <f>SUMIFS(Lancamentos!$E$5:$E$504,Lancamentos!$B$5:$B$504,"Receita",Lancamentos!$C$5:$C$504,$A20,Lancamentos!$G$5:$G$504,F$3)</f>
        <v/>
      </c>
      <c r="G20" s="89">
        <f>SUMIFS(Lancamentos!$E$5:$E$504,Lancamentos!$B$5:$B$504,"Receita",Lancamentos!$C$5:$C$504,$A20,Lancamentos!$G$5:$G$504,G$3)</f>
        <v/>
      </c>
      <c r="H20" s="89">
        <f>SUMIFS(Lancamentos!$E$5:$E$504,Lancamentos!$B$5:$B$504,"Receita",Lancamentos!$C$5:$C$504,$A20,Lancamentos!$G$5:$G$504,H$3)</f>
        <v/>
      </c>
      <c r="I20" s="89">
        <f>SUMIFS(Lancamentos!$E$5:$E$504,Lancamentos!$B$5:$B$504,"Receita",Lancamentos!$C$5:$C$504,$A20,Lancamentos!$G$5:$G$504,I$3)</f>
        <v/>
      </c>
      <c r="J20" s="89">
        <f>SUMIFS(Lancamentos!$E$5:$E$504,Lancamentos!$B$5:$B$504,"Receita",Lancamentos!$C$5:$C$504,$A20,Lancamentos!$G$5:$G$504,J$3)</f>
        <v/>
      </c>
      <c r="K20" s="89">
        <f>SUMIFS(Lancamentos!$E$5:$E$504,Lancamentos!$B$5:$B$504,"Receita",Lancamentos!$C$5:$C$504,$A20,Lancamentos!$G$5:$G$504,K$3)</f>
        <v/>
      </c>
      <c r="L20" s="89">
        <f>SUMIFS(Lancamentos!$E$5:$E$504,Lancamentos!$B$5:$B$504,"Receita",Lancamentos!$C$5:$C$504,$A20,Lancamentos!$G$5:$G$504,L$3)</f>
        <v/>
      </c>
      <c r="M20" s="89">
        <f>SUMIFS(Lancamentos!$E$5:$E$504,Lancamentos!$B$5:$B$504,"Receita",Lancamentos!$C$5:$C$504,$A20,Lancamentos!$G$5:$G$504,M$3)</f>
        <v/>
      </c>
      <c r="N20" s="89">
        <f>SUMIFS(Lancamentos!$E$5:$E$504,Lancamentos!$B$5:$B$504,"Receita",Lancamentos!$C$5:$C$504,$A20,Lancamentos!$G$5:$G$504,N$3)</f>
        <v/>
      </c>
      <c r="O20" s="89">
        <f>SUM(C20:N20)</f>
        <v/>
      </c>
      <c r="P20" s="89">
        <f>AVERAGE(C20:N20)</f>
        <v/>
      </c>
      <c r="Q20" s="69" t="n"/>
      <c r="R20" s="69" t="n"/>
    </row>
    <row r="21">
      <c r="A21" s="87" t="inlineStr">
        <is>
          <t>Freelance / Renda Extra</t>
        </is>
      </c>
      <c r="B21" s="69" t="n"/>
      <c r="C21" s="89">
        <f>SUMIFS(Lancamentos!$E$5:$E$504,Lancamentos!$B$5:$B$504,"Receita",Lancamentos!$C$5:$C$504,$A21,Lancamentos!$G$5:$G$504,C$3)</f>
        <v/>
      </c>
      <c r="D21" s="89">
        <f>SUMIFS(Lancamentos!$E$5:$E$504,Lancamentos!$B$5:$B$504,"Receita",Lancamentos!$C$5:$C$504,$A21,Lancamentos!$G$5:$G$504,D$3)</f>
        <v/>
      </c>
      <c r="E21" s="89">
        <f>SUMIFS(Lancamentos!$E$5:$E$504,Lancamentos!$B$5:$B$504,"Receita",Lancamentos!$C$5:$C$504,$A21,Lancamentos!$G$5:$G$504,E$3)</f>
        <v/>
      </c>
      <c r="F21" s="89">
        <f>SUMIFS(Lancamentos!$E$5:$E$504,Lancamentos!$B$5:$B$504,"Receita",Lancamentos!$C$5:$C$504,$A21,Lancamentos!$G$5:$G$504,F$3)</f>
        <v/>
      </c>
      <c r="G21" s="89">
        <f>SUMIFS(Lancamentos!$E$5:$E$504,Lancamentos!$B$5:$B$504,"Receita",Lancamentos!$C$5:$C$504,$A21,Lancamentos!$G$5:$G$504,G$3)</f>
        <v/>
      </c>
      <c r="H21" s="89">
        <f>SUMIFS(Lancamentos!$E$5:$E$504,Lancamentos!$B$5:$B$504,"Receita",Lancamentos!$C$5:$C$504,$A21,Lancamentos!$G$5:$G$504,H$3)</f>
        <v/>
      </c>
      <c r="I21" s="89">
        <f>SUMIFS(Lancamentos!$E$5:$E$504,Lancamentos!$B$5:$B$504,"Receita",Lancamentos!$C$5:$C$504,$A21,Lancamentos!$G$5:$G$504,I$3)</f>
        <v/>
      </c>
      <c r="J21" s="89">
        <f>SUMIFS(Lancamentos!$E$5:$E$504,Lancamentos!$B$5:$B$504,"Receita",Lancamentos!$C$5:$C$504,$A21,Lancamentos!$G$5:$G$504,J$3)</f>
        <v/>
      </c>
      <c r="K21" s="89">
        <f>SUMIFS(Lancamentos!$E$5:$E$504,Lancamentos!$B$5:$B$504,"Receita",Lancamentos!$C$5:$C$504,$A21,Lancamentos!$G$5:$G$504,K$3)</f>
        <v/>
      </c>
      <c r="L21" s="89">
        <f>SUMIFS(Lancamentos!$E$5:$E$504,Lancamentos!$B$5:$B$504,"Receita",Lancamentos!$C$5:$C$504,$A21,Lancamentos!$G$5:$G$504,L$3)</f>
        <v/>
      </c>
      <c r="M21" s="89">
        <f>SUMIFS(Lancamentos!$E$5:$E$504,Lancamentos!$B$5:$B$504,"Receita",Lancamentos!$C$5:$C$504,$A21,Lancamentos!$G$5:$G$504,M$3)</f>
        <v/>
      </c>
      <c r="N21" s="89">
        <f>SUMIFS(Lancamentos!$E$5:$E$504,Lancamentos!$B$5:$B$504,"Receita",Lancamentos!$C$5:$C$504,$A21,Lancamentos!$G$5:$G$504,N$3)</f>
        <v/>
      </c>
      <c r="O21" s="89">
        <f>SUM(C21:N21)</f>
        <v/>
      </c>
      <c r="P21" s="89">
        <f>AVERAGE(C21:N21)</f>
        <v/>
      </c>
      <c r="Q21" s="69" t="n"/>
      <c r="R21" s="69" t="n"/>
    </row>
    <row r="22">
      <c r="A22" s="87" t="inlineStr">
        <is>
          <t>Dividendos e Proventos</t>
        </is>
      </c>
      <c r="B22" s="69" t="n"/>
      <c r="C22" s="89">
        <f>SUMIFS(Lancamentos!$E$5:$E$504,Lancamentos!$B$5:$B$504,"Receita",Lancamentos!$C$5:$C$504,$A22,Lancamentos!$G$5:$G$504,C$3)</f>
        <v/>
      </c>
      <c r="D22" s="89">
        <f>SUMIFS(Lancamentos!$E$5:$E$504,Lancamentos!$B$5:$B$504,"Receita",Lancamentos!$C$5:$C$504,$A22,Lancamentos!$G$5:$G$504,D$3)</f>
        <v/>
      </c>
      <c r="E22" s="89">
        <f>SUMIFS(Lancamentos!$E$5:$E$504,Lancamentos!$B$5:$B$504,"Receita",Lancamentos!$C$5:$C$504,$A22,Lancamentos!$G$5:$G$504,E$3)</f>
        <v/>
      </c>
      <c r="F22" s="89">
        <f>SUMIFS(Lancamentos!$E$5:$E$504,Lancamentos!$B$5:$B$504,"Receita",Lancamentos!$C$5:$C$504,$A22,Lancamentos!$G$5:$G$504,F$3)</f>
        <v/>
      </c>
      <c r="G22" s="89">
        <f>SUMIFS(Lancamentos!$E$5:$E$504,Lancamentos!$B$5:$B$504,"Receita",Lancamentos!$C$5:$C$504,$A22,Lancamentos!$G$5:$G$504,G$3)</f>
        <v/>
      </c>
      <c r="H22" s="89">
        <f>SUMIFS(Lancamentos!$E$5:$E$504,Lancamentos!$B$5:$B$504,"Receita",Lancamentos!$C$5:$C$504,$A22,Lancamentos!$G$5:$G$504,H$3)</f>
        <v/>
      </c>
      <c r="I22" s="89">
        <f>SUMIFS(Lancamentos!$E$5:$E$504,Lancamentos!$B$5:$B$504,"Receita",Lancamentos!$C$5:$C$504,$A22,Lancamentos!$G$5:$G$504,I$3)</f>
        <v/>
      </c>
      <c r="J22" s="89">
        <f>SUMIFS(Lancamentos!$E$5:$E$504,Lancamentos!$B$5:$B$504,"Receita",Lancamentos!$C$5:$C$504,$A22,Lancamentos!$G$5:$G$504,J$3)</f>
        <v/>
      </c>
      <c r="K22" s="89">
        <f>SUMIFS(Lancamentos!$E$5:$E$504,Lancamentos!$B$5:$B$504,"Receita",Lancamentos!$C$5:$C$504,$A22,Lancamentos!$G$5:$G$504,K$3)</f>
        <v/>
      </c>
      <c r="L22" s="89">
        <f>SUMIFS(Lancamentos!$E$5:$E$504,Lancamentos!$B$5:$B$504,"Receita",Lancamentos!$C$5:$C$504,$A22,Lancamentos!$G$5:$G$504,L$3)</f>
        <v/>
      </c>
      <c r="M22" s="89">
        <f>SUMIFS(Lancamentos!$E$5:$E$504,Lancamentos!$B$5:$B$504,"Receita",Lancamentos!$C$5:$C$504,$A22,Lancamentos!$G$5:$G$504,M$3)</f>
        <v/>
      </c>
      <c r="N22" s="89">
        <f>SUMIFS(Lancamentos!$E$5:$E$504,Lancamentos!$B$5:$B$504,"Receita",Lancamentos!$C$5:$C$504,$A22,Lancamentos!$G$5:$G$504,N$3)</f>
        <v/>
      </c>
      <c r="O22" s="89">
        <f>SUM(C22:N22)</f>
        <v/>
      </c>
      <c r="P22" s="89">
        <f>AVERAGE(C22:N22)</f>
        <v/>
      </c>
      <c r="Q22" s="69" t="n"/>
      <c r="R22" s="69" t="n"/>
    </row>
    <row r="23">
      <c r="A23" s="87" t="inlineStr">
        <is>
          <t>Aluguéis</t>
        </is>
      </c>
      <c r="B23" s="69" t="n"/>
      <c r="C23" s="89">
        <f>SUMIFS(Lancamentos!$E$5:$E$504,Lancamentos!$B$5:$B$504,"Receita",Lancamentos!$C$5:$C$504,$A23,Lancamentos!$G$5:$G$504,C$3)</f>
        <v/>
      </c>
      <c r="D23" s="89">
        <f>SUMIFS(Lancamentos!$E$5:$E$504,Lancamentos!$B$5:$B$504,"Receita",Lancamentos!$C$5:$C$504,$A23,Lancamentos!$G$5:$G$504,D$3)</f>
        <v/>
      </c>
      <c r="E23" s="89">
        <f>SUMIFS(Lancamentos!$E$5:$E$504,Lancamentos!$B$5:$B$504,"Receita",Lancamentos!$C$5:$C$504,$A23,Lancamentos!$G$5:$G$504,E$3)</f>
        <v/>
      </c>
      <c r="F23" s="89">
        <f>SUMIFS(Lancamentos!$E$5:$E$504,Lancamentos!$B$5:$B$504,"Receita",Lancamentos!$C$5:$C$504,$A23,Lancamentos!$G$5:$G$504,F$3)</f>
        <v/>
      </c>
      <c r="G23" s="89">
        <f>SUMIFS(Lancamentos!$E$5:$E$504,Lancamentos!$B$5:$B$504,"Receita",Lancamentos!$C$5:$C$504,$A23,Lancamentos!$G$5:$G$504,G$3)</f>
        <v/>
      </c>
      <c r="H23" s="89">
        <f>SUMIFS(Lancamentos!$E$5:$E$504,Lancamentos!$B$5:$B$504,"Receita",Lancamentos!$C$5:$C$504,$A23,Lancamentos!$G$5:$G$504,H$3)</f>
        <v/>
      </c>
      <c r="I23" s="89">
        <f>SUMIFS(Lancamentos!$E$5:$E$504,Lancamentos!$B$5:$B$504,"Receita",Lancamentos!$C$5:$C$504,$A23,Lancamentos!$G$5:$G$504,I$3)</f>
        <v/>
      </c>
      <c r="J23" s="89">
        <f>SUMIFS(Lancamentos!$E$5:$E$504,Lancamentos!$B$5:$B$504,"Receita",Lancamentos!$C$5:$C$504,$A23,Lancamentos!$G$5:$G$504,J$3)</f>
        <v/>
      </c>
      <c r="K23" s="89">
        <f>SUMIFS(Lancamentos!$E$5:$E$504,Lancamentos!$B$5:$B$504,"Receita",Lancamentos!$C$5:$C$504,$A23,Lancamentos!$G$5:$G$504,K$3)</f>
        <v/>
      </c>
      <c r="L23" s="89">
        <f>SUMIFS(Lancamentos!$E$5:$E$504,Lancamentos!$B$5:$B$504,"Receita",Lancamentos!$C$5:$C$504,$A23,Lancamentos!$G$5:$G$504,L$3)</f>
        <v/>
      </c>
      <c r="M23" s="89">
        <f>SUMIFS(Lancamentos!$E$5:$E$504,Lancamentos!$B$5:$B$504,"Receita",Lancamentos!$C$5:$C$504,$A23,Lancamentos!$G$5:$G$504,M$3)</f>
        <v/>
      </c>
      <c r="N23" s="89">
        <f>SUMIFS(Lancamentos!$E$5:$E$504,Lancamentos!$B$5:$B$504,"Receita",Lancamentos!$C$5:$C$504,$A23,Lancamentos!$G$5:$G$504,N$3)</f>
        <v/>
      </c>
      <c r="O23" s="89">
        <f>SUM(C23:N23)</f>
        <v/>
      </c>
      <c r="P23" s="89">
        <f>AVERAGE(C23:N23)</f>
        <v/>
      </c>
      <c r="Q23" s="69" t="n"/>
      <c r="R23" s="69" t="n"/>
    </row>
    <row r="24">
      <c r="A24" s="87" t="inlineStr">
        <is>
          <t>Reembolsos</t>
        </is>
      </c>
      <c r="B24" s="69" t="n"/>
      <c r="C24" s="89">
        <f>SUMIFS(Lancamentos!$E$5:$E$504,Lancamentos!$B$5:$B$504,"Receita",Lancamentos!$C$5:$C$504,$A24,Lancamentos!$G$5:$G$504,C$3)</f>
        <v/>
      </c>
      <c r="D24" s="89">
        <f>SUMIFS(Lancamentos!$E$5:$E$504,Lancamentos!$B$5:$B$504,"Receita",Lancamentos!$C$5:$C$504,$A24,Lancamentos!$G$5:$G$504,D$3)</f>
        <v/>
      </c>
      <c r="E24" s="89">
        <f>SUMIFS(Lancamentos!$E$5:$E$504,Lancamentos!$B$5:$B$504,"Receita",Lancamentos!$C$5:$C$504,$A24,Lancamentos!$G$5:$G$504,E$3)</f>
        <v/>
      </c>
      <c r="F24" s="89">
        <f>SUMIFS(Lancamentos!$E$5:$E$504,Lancamentos!$B$5:$B$504,"Receita",Lancamentos!$C$5:$C$504,$A24,Lancamentos!$G$5:$G$504,F$3)</f>
        <v/>
      </c>
      <c r="G24" s="89">
        <f>SUMIFS(Lancamentos!$E$5:$E$504,Lancamentos!$B$5:$B$504,"Receita",Lancamentos!$C$5:$C$504,$A24,Lancamentos!$G$5:$G$504,G$3)</f>
        <v/>
      </c>
      <c r="H24" s="89">
        <f>SUMIFS(Lancamentos!$E$5:$E$504,Lancamentos!$B$5:$B$504,"Receita",Lancamentos!$C$5:$C$504,$A24,Lancamentos!$G$5:$G$504,H$3)</f>
        <v/>
      </c>
      <c r="I24" s="89">
        <f>SUMIFS(Lancamentos!$E$5:$E$504,Lancamentos!$B$5:$B$504,"Receita",Lancamentos!$C$5:$C$504,$A24,Lancamentos!$G$5:$G$504,I$3)</f>
        <v/>
      </c>
      <c r="J24" s="89">
        <f>SUMIFS(Lancamentos!$E$5:$E$504,Lancamentos!$B$5:$B$504,"Receita",Lancamentos!$C$5:$C$504,$A24,Lancamentos!$G$5:$G$504,J$3)</f>
        <v/>
      </c>
      <c r="K24" s="89">
        <f>SUMIFS(Lancamentos!$E$5:$E$504,Lancamentos!$B$5:$B$504,"Receita",Lancamentos!$C$5:$C$504,$A24,Lancamentos!$G$5:$G$504,K$3)</f>
        <v/>
      </c>
      <c r="L24" s="89">
        <f>SUMIFS(Lancamentos!$E$5:$E$504,Lancamentos!$B$5:$B$504,"Receita",Lancamentos!$C$5:$C$504,$A24,Lancamentos!$G$5:$G$504,L$3)</f>
        <v/>
      </c>
      <c r="M24" s="89">
        <f>SUMIFS(Lancamentos!$E$5:$E$504,Lancamentos!$B$5:$B$504,"Receita",Lancamentos!$C$5:$C$504,$A24,Lancamentos!$G$5:$G$504,M$3)</f>
        <v/>
      </c>
      <c r="N24" s="89">
        <f>SUMIFS(Lancamentos!$E$5:$E$504,Lancamentos!$B$5:$B$504,"Receita",Lancamentos!$C$5:$C$504,$A24,Lancamentos!$G$5:$G$504,N$3)</f>
        <v/>
      </c>
      <c r="O24" s="89">
        <f>SUM(C24:N24)</f>
        <v/>
      </c>
      <c r="P24" s="89">
        <f>AVERAGE(C24:N24)</f>
        <v/>
      </c>
      <c r="Q24" s="69" t="n"/>
      <c r="R24" s="69" t="n"/>
    </row>
    <row r="25">
      <c r="A25" s="87" t="inlineStr">
        <is>
          <t>Outras Receitas</t>
        </is>
      </c>
      <c r="B25" s="69" t="n"/>
      <c r="C25" s="89">
        <f>SUMIFS(Lancamentos!$E$5:$E$504,Lancamentos!$B$5:$B$504,"Receita",Lancamentos!$C$5:$C$504,$A25,Lancamentos!$G$5:$G$504,C$3)</f>
        <v/>
      </c>
      <c r="D25" s="89">
        <f>SUMIFS(Lancamentos!$E$5:$E$504,Lancamentos!$B$5:$B$504,"Receita",Lancamentos!$C$5:$C$504,$A25,Lancamentos!$G$5:$G$504,D$3)</f>
        <v/>
      </c>
      <c r="E25" s="89">
        <f>SUMIFS(Lancamentos!$E$5:$E$504,Lancamentos!$B$5:$B$504,"Receita",Lancamentos!$C$5:$C$504,$A25,Lancamentos!$G$5:$G$504,E$3)</f>
        <v/>
      </c>
      <c r="F25" s="89">
        <f>SUMIFS(Lancamentos!$E$5:$E$504,Lancamentos!$B$5:$B$504,"Receita",Lancamentos!$C$5:$C$504,$A25,Lancamentos!$G$5:$G$504,F$3)</f>
        <v/>
      </c>
      <c r="G25" s="89">
        <f>SUMIFS(Lancamentos!$E$5:$E$504,Lancamentos!$B$5:$B$504,"Receita",Lancamentos!$C$5:$C$504,$A25,Lancamentos!$G$5:$G$504,G$3)</f>
        <v/>
      </c>
      <c r="H25" s="89">
        <f>SUMIFS(Lancamentos!$E$5:$E$504,Lancamentos!$B$5:$B$504,"Receita",Lancamentos!$C$5:$C$504,$A25,Lancamentos!$G$5:$G$504,H$3)</f>
        <v/>
      </c>
      <c r="I25" s="89">
        <f>SUMIFS(Lancamentos!$E$5:$E$504,Lancamentos!$B$5:$B$504,"Receita",Lancamentos!$C$5:$C$504,$A25,Lancamentos!$G$5:$G$504,I$3)</f>
        <v/>
      </c>
      <c r="J25" s="89">
        <f>SUMIFS(Lancamentos!$E$5:$E$504,Lancamentos!$B$5:$B$504,"Receita",Lancamentos!$C$5:$C$504,$A25,Lancamentos!$G$5:$G$504,J$3)</f>
        <v/>
      </c>
      <c r="K25" s="89">
        <f>SUMIFS(Lancamentos!$E$5:$E$504,Lancamentos!$B$5:$B$504,"Receita",Lancamentos!$C$5:$C$504,$A25,Lancamentos!$G$5:$G$504,K$3)</f>
        <v/>
      </c>
      <c r="L25" s="89">
        <f>SUMIFS(Lancamentos!$E$5:$E$504,Lancamentos!$B$5:$B$504,"Receita",Lancamentos!$C$5:$C$504,$A25,Lancamentos!$G$5:$G$504,L$3)</f>
        <v/>
      </c>
      <c r="M25" s="89">
        <f>SUMIFS(Lancamentos!$E$5:$E$504,Lancamentos!$B$5:$B$504,"Receita",Lancamentos!$C$5:$C$504,$A25,Lancamentos!$G$5:$G$504,M$3)</f>
        <v/>
      </c>
      <c r="N25" s="89">
        <f>SUMIFS(Lancamentos!$E$5:$E$504,Lancamentos!$B$5:$B$504,"Receita",Lancamentos!$C$5:$C$504,$A25,Lancamentos!$G$5:$G$504,N$3)</f>
        <v/>
      </c>
      <c r="O25" s="89">
        <f>SUM(C25:N25)</f>
        <v/>
      </c>
      <c r="P25" s="89">
        <f>AVERAGE(C25:N25)</f>
        <v/>
      </c>
      <c r="Q25" s="69" t="n"/>
      <c r="R25" s="69" t="n"/>
    </row>
    <row r="26">
      <c r="A26" s="95" t="inlineStr">
        <is>
          <t>TOTAL DE RECEITAS</t>
        </is>
      </c>
      <c r="B26" s="95" t="n"/>
      <c r="C26" s="96">
        <f>SUM(C20:C25)</f>
        <v/>
      </c>
      <c r="D26" s="96">
        <f>SUM(D20:D25)</f>
        <v/>
      </c>
      <c r="E26" s="96">
        <f>SUM(E20:E25)</f>
        <v/>
      </c>
      <c r="F26" s="96">
        <f>SUM(F20:F25)</f>
        <v/>
      </c>
      <c r="G26" s="96">
        <f>SUM(G20:G25)</f>
        <v/>
      </c>
      <c r="H26" s="96">
        <f>SUM(H20:H25)</f>
        <v/>
      </c>
      <c r="I26" s="96">
        <f>SUM(I20:I25)</f>
        <v/>
      </c>
      <c r="J26" s="96">
        <f>SUM(J20:J25)</f>
        <v/>
      </c>
      <c r="K26" s="96">
        <f>SUM(K20:K25)</f>
        <v/>
      </c>
      <c r="L26" s="96">
        <f>SUM(L20:L25)</f>
        <v/>
      </c>
      <c r="M26" s="96">
        <f>SUM(M20:M25)</f>
        <v/>
      </c>
      <c r="N26" s="96">
        <f>SUM(N20:N25)</f>
        <v/>
      </c>
      <c r="O26" s="96">
        <f>SUM(C26:N26)</f>
        <v/>
      </c>
      <c r="P26" s="96">
        <f>AVERAGE(C26:N26)</f>
        <v/>
      </c>
      <c r="Q26" s="95" t="n"/>
      <c r="R26" s="95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</row>
    <row r="28">
      <c r="A28" s="97" t="inlineStr">
        <is>
          <t>APORTES EM INVESTIMENTOS</t>
        </is>
      </c>
      <c r="B28" s="97" t="n"/>
      <c r="C28" s="98">
        <f>SUMIFS(Lancamentos!$E$5:$E$504,Lancamentos!$B$5:$B$504,"Investimento",Lancamentos!$G$5:$G$504,C$3)</f>
        <v/>
      </c>
      <c r="D28" s="98">
        <f>SUMIFS(Lancamentos!$E$5:$E$504,Lancamentos!$B$5:$B$504,"Investimento",Lancamentos!$G$5:$G$504,D$3)</f>
        <v/>
      </c>
      <c r="E28" s="98">
        <f>SUMIFS(Lancamentos!$E$5:$E$504,Lancamentos!$B$5:$B$504,"Investimento",Lancamentos!$G$5:$G$504,E$3)</f>
        <v/>
      </c>
      <c r="F28" s="98">
        <f>SUMIFS(Lancamentos!$E$5:$E$504,Lancamentos!$B$5:$B$504,"Investimento",Lancamentos!$G$5:$G$504,F$3)</f>
        <v/>
      </c>
      <c r="G28" s="98">
        <f>SUMIFS(Lancamentos!$E$5:$E$504,Lancamentos!$B$5:$B$504,"Investimento",Lancamentos!$G$5:$G$504,G$3)</f>
        <v/>
      </c>
      <c r="H28" s="98">
        <f>SUMIFS(Lancamentos!$E$5:$E$504,Lancamentos!$B$5:$B$504,"Investimento",Lancamentos!$G$5:$G$504,H$3)</f>
        <v/>
      </c>
      <c r="I28" s="98">
        <f>SUMIFS(Lancamentos!$E$5:$E$504,Lancamentos!$B$5:$B$504,"Investimento",Lancamentos!$G$5:$G$504,I$3)</f>
        <v/>
      </c>
      <c r="J28" s="98">
        <f>SUMIFS(Lancamentos!$E$5:$E$504,Lancamentos!$B$5:$B$504,"Investimento",Lancamentos!$G$5:$G$504,J$3)</f>
        <v/>
      </c>
      <c r="K28" s="98">
        <f>SUMIFS(Lancamentos!$E$5:$E$504,Lancamentos!$B$5:$B$504,"Investimento",Lancamentos!$G$5:$G$504,K$3)</f>
        <v/>
      </c>
      <c r="L28" s="98">
        <f>SUMIFS(Lancamentos!$E$5:$E$504,Lancamentos!$B$5:$B$504,"Investimento",Lancamentos!$G$5:$G$504,L$3)</f>
        <v/>
      </c>
      <c r="M28" s="98">
        <f>SUMIFS(Lancamentos!$E$5:$E$504,Lancamentos!$B$5:$B$504,"Investimento",Lancamentos!$G$5:$G$504,M$3)</f>
        <v/>
      </c>
      <c r="N28" s="98">
        <f>SUMIFS(Lancamentos!$E$5:$E$504,Lancamentos!$B$5:$B$504,"Investimento",Lancamentos!$G$5:$G$504,N$3)</f>
        <v/>
      </c>
      <c r="O28" s="98">
        <f>SUM(C28:N28)</f>
        <v/>
      </c>
      <c r="P28" s="97" t="n"/>
      <c r="Q28" s="97" t="n"/>
      <c r="R28" s="97" t="n"/>
    </row>
    <row r="29">
      <c r="A29" s="99" t="inlineStr">
        <is>
          <t>SALDO DO MÊS (sobra em conta)</t>
        </is>
      </c>
      <c r="B29" s="99" t="n"/>
      <c r="C29" s="100">
        <f>C26-C17-C28</f>
        <v/>
      </c>
      <c r="D29" s="100">
        <f>D26-D17-D28</f>
        <v/>
      </c>
      <c r="E29" s="100">
        <f>E26-E17-E28</f>
        <v/>
      </c>
      <c r="F29" s="100">
        <f>F26-F17-F28</f>
        <v/>
      </c>
      <c r="G29" s="100">
        <f>G26-G17-G28</f>
        <v/>
      </c>
      <c r="H29" s="100">
        <f>H26-H17-H28</f>
        <v/>
      </c>
      <c r="I29" s="100">
        <f>I26-I17-I28</f>
        <v/>
      </c>
      <c r="J29" s="100">
        <f>J26-J17-J28</f>
        <v/>
      </c>
      <c r="K29" s="100">
        <f>K26-K17-K28</f>
        <v/>
      </c>
      <c r="L29" s="100">
        <f>L26-L17-L28</f>
        <v/>
      </c>
      <c r="M29" s="100">
        <f>M26-M17-M28</f>
        <v/>
      </c>
      <c r="N29" s="100">
        <f>N26-N17-N28</f>
        <v/>
      </c>
      <c r="O29" s="100">
        <f>SUM(C29:N29)</f>
        <v/>
      </c>
      <c r="P29" s="99" t="n"/>
      <c r="Q29" s="99" t="n"/>
      <c r="R29" s="99" t="n"/>
    </row>
    <row r="30">
      <c r="A30" s="101" t="inlineStr">
        <is>
          <t>TAXA DE POUPANÇA (%)</t>
        </is>
      </c>
      <c r="B30" s="101" t="n"/>
      <c r="C30" s="102">
        <f>IFERROR((C26-C17)/C26,"")</f>
        <v/>
      </c>
      <c r="D30" s="102">
        <f>IFERROR((D26-D17)/D26,"")</f>
        <v/>
      </c>
      <c r="E30" s="102">
        <f>IFERROR((E26-E17)/E26,"")</f>
        <v/>
      </c>
      <c r="F30" s="102">
        <f>IFERROR((F26-F17)/F26,"")</f>
        <v/>
      </c>
      <c r="G30" s="102">
        <f>IFERROR((G26-G17)/G26,"")</f>
        <v/>
      </c>
      <c r="H30" s="102">
        <f>IFERROR((H26-H17)/H26,"")</f>
        <v/>
      </c>
      <c r="I30" s="102">
        <f>IFERROR((I26-I17)/I26,"")</f>
        <v/>
      </c>
      <c r="J30" s="102">
        <f>IFERROR((J26-J17)/J26,"")</f>
        <v/>
      </c>
      <c r="K30" s="102">
        <f>IFERROR((K26-K17)/K26,"")</f>
        <v/>
      </c>
      <c r="L30" s="102">
        <f>IFERROR((L26-L17)/L26,"")</f>
        <v/>
      </c>
      <c r="M30" s="102">
        <f>IFERROR((M26-M17)/M26,"")</f>
        <v/>
      </c>
      <c r="N30" s="102">
        <f>IFERROR((N26-N17)/N26,"")</f>
        <v/>
      </c>
      <c r="O30" s="102">
        <f>IFERROR((O26-O17)/O26,"")</f>
        <v/>
      </c>
      <c r="P30" s="101" t="n"/>
      <c r="Q30" s="101" t="n"/>
      <c r="R30" s="101" t="n"/>
    </row>
  </sheetData>
  <mergeCells count="3">
    <mergeCell ref="A2:R2"/>
    <mergeCell ref="A1:Q1"/>
    <mergeCell ref="A19:R19"/>
  </mergeCells>
  <conditionalFormatting sqref="C5:N16">
    <cfRule type="expression" priority="1" dxfId="1">
      <formula>AND(C5&gt;0,C5&gt;$B5)</formula>
    </cfRule>
  </conditionalFormatting>
  <conditionalFormatting sqref="R5:R16">
    <cfRule type="dataBar" priority="2">
      <dataBar>
        <cfvo type="num" val="0"/>
        <cfvo type="num" val="1"/>
        <color rgb="00D97706"/>
      </dataBar>
    </cfRule>
  </conditionalFormatting>
  <conditionalFormatting sqref="C29:O29">
    <cfRule type="cellIs" priority="3" operator="lessThan" dxfId="4">
      <formula>0</formula>
    </cfRule>
  </conditionalFormatting>
  <hyperlinks>
    <hyperlink ref="R1" location="'Inicio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/>
  </sheetPr>
  <dimension ref="A1:O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8" customWidth="1" min="11" max="11"/>
    <col width="12" customWidth="1" min="12" max="12"/>
    <col width="11" customWidth="1" min="13" max="13"/>
    <col width="12" customWidth="1" min="14" max="14"/>
    <col width="13" customWidth="1" min="15" max="15"/>
  </cols>
  <sheetData>
    <row r="1" ht="34" customHeight="1">
      <c r="A1" s="103" t="inlineStr">
        <is>
          <t>📈  CARTEIRA DE INVESTIMENTOS — AÇÕES, FIIs, ETFs</t>
        </is>
      </c>
      <c r="O1" s="104" t="inlineStr">
        <is>
          <t>🏠 Início</t>
        </is>
      </c>
    </row>
    <row r="2" ht="26" customHeight="1">
      <c r="A2" s="77" t="inlineStr">
        <is>
          <t>Edite apenas as colunas amarelas: Quantidade, Preço Médio, Preço Atual, Alvo % e Dividendos 12m. O restante (resultado, rentabilidade, alocação e rebalanceamento) é automático.</t>
        </is>
      </c>
    </row>
    <row r="4" ht="30" customHeight="1">
      <c r="A4" s="105" t="inlineStr">
        <is>
          <t>Ticker</t>
        </is>
      </c>
      <c r="B4" s="105" t="inlineStr">
        <is>
          <t>Classe</t>
        </is>
      </c>
      <c r="C4" s="105" t="inlineStr">
        <is>
          <t>Qtd.</t>
        </is>
      </c>
      <c r="D4" s="105" t="inlineStr">
        <is>
          <t>Preço Médio</t>
        </is>
      </c>
      <c r="E4" s="105" t="inlineStr">
        <is>
          <t>Preço Atual</t>
        </is>
      </c>
      <c r="F4" s="105" t="inlineStr">
        <is>
          <t>Total Investido</t>
        </is>
      </c>
      <c r="G4" s="105" t="inlineStr">
        <is>
          <t>Valor Atual</t>
        </is>
      </c>
      <c r="H4" s="105" t="inlineStr">
        <is>
          <t>Resultado (R$)</t>
        </is>
      </c>
      <c r="I4" s="105" t="inlineStr">
        <is>
          <t>Result. (%)</t>
        </is>
      </c>
      <c r="J4" s="105" t="inlineStr">
        <is>
          <t>% Carteira</t>
        </is>
      </c>
      <c r="K4" s="105" t="inlineStr">
        <is>
          <t>Alvo %</t>
        </is>
      </c>
      <c r="L4" s="105" t="inlineStr">
        <is>
          <t>Dividendos 12m</t>
        </is>
      </c>
      <c r="M4" s="105" t="inlineStr">
        <is>
          <t>Yield s/ Custo</t>
        </is>
      </c>
      <c r="N4" s="105" t="inlineStr">
        <is>
          <t>Retorno Total %</t>
        </is>
      </c>
      <c r="O4" s="105" t="inlineStr">
        <is>
          <t>Rebalancear (R$)</t>
        </is>
      </c>
    </row>
    <row r="5">
      <c r="A5" s="69" t="inlineStr">
        <is>
          <t>PETR4</t>
        </is>
      </c>
      <c r="B5" s="69" t="inlineStr">
        <is>
          <t>Ação</t>
        </is>
      </c>
      <c r="C5" s="106" t="n">
        <v>200</v>
      </c>
      <c r="D5" s="107" t="n">
        <v>32.5</v>
      </c>
      <c r="E5" s="107" t="n">
        <v>38.2</v>
      </c>
      <c r="F5" s="108">
        <f>IF($A5="","",C5*D5)</f>
        <v/>
      </c>
      <c r="G5" s="108">
        <f>IF($A5="","",C5*E5)</f>
        <v/>
      </c>
      <c r="H5" s="108">
        <f>IF($A5="","",G5-F5)</f>
        <v/>
      </c>
      <c r="I5" s="90">
        <f>IF($A5="","",IFERROR(H5/F5,0))</f>
        <v/>
      </c>
      <c r="J5" s="90">
        <f>IF($A5="","",IFERROR(G5/$G$25,0))</f>
        <v/>
      </c>
      <c r="K5" s="109" t="n">
        <v>0.1</v>
      </c>
      <c r="L5" s="107" t="n">
        <v>980</v>
      </c>
      <c r="M5" s="90">
        <f>IF($A5="","",IFERROR(L5/F5,0))</f>
        <v/>
      </c>
      <c r="N5" s="90">
        <f>IF($A5="","",IFERROR((H5+L5)/F5,0))</f>
        <v/>
      </c>
      <c r="O5" s="108">
        <f>IF($A5="","",K5*$G$25-G5)</f>
        <v/>
      </c>
    </row>
    <row r="6">
      <c r="A6" s="69" t="inlineStr">
        <is>
          <t>VALE3</t>
        </is>
      </c>
      <c r="B6" s="69" t="inlineStr">
        <is>
          <t>Ação</t>
        </is>
      </c>
      <c r="C6" s="106" t="n">
        <v>300</v>
      </c>
      <c r="D6" s="107" t="n">
        <v>61.8</v>
      </c>
      <c r="E6" s="107" t="n">
        <v>55.4</v>
      </c>
      <c r="F6" s="108">
        <f>IF($A6="","",C6*D6)</f>
        <v/>
      </c>
      <c r="G6" s="108">
        <f>IF($A6="","",C6*E6)</f>
        <v/>
      </c>
      <c r="H6" s="108">
        <f>IF($A6="","",G6-F6)</f>
        <v/>
      </c>
      <c r="I6" s="90">
        <f>IF($A6="","",IFERROR(H6/F6,0))</f>
        <v/>
      </c>
      <c r="J6" s="90">
        <f>IF($A6="","",IFERROR(G6/$G$25,0))</f>
        <v/>
      </c>
      <c r="K6" s="109" t="n">
        <v>0.1</v>
      </c>
      <c r="L6" s="107" t="n">
        <v>1240</v>
      </c>
      <c r="M6" s="90">
        <f>IF($A6="","",IFERROR(L6/F6,0))</f>
        <v/>
      </c>
      <c r="N6" s="90">
        <f>IF($A6="","",IFERROR((H6+L6)/F6,0))</f>
        <v/>
      </c>
      <c r="O6" s="108">
        <f>IF($A6="","",K6*$G$25-G6)</f>
        <v/>
      </c>
    </row>
    <row r="7">
      <c r="A7" s="69" t="inlineStr">
        <is>
          <t>ITUB4</t>
        </is>
      </c>
      <c r="B7" s="69" t="inlineStr">
        <is>
          <t>Ação</t>
        </is>
      </c>
      <c r="C7" s="106" t="n">
        <v>400</v>
      </c>
      <c r="D7" s="107" t="n">
        <v>27.3</v>
      </c>
      <c r="E7" s="107" t="n">
        <v>34.1</v>
      </c>
      <c r="F7" s="108">
        <f>IF($A7="","",C7*D7)</f>
        <v/>
      </c>
      <c r="G7" s="108">
        <f>IF($A7="","",C7*E7)</f>
        <v/>
      </c>
      <c r="H7" s="108">
        <f>IF($A7="","",G7-F7)</f>
        <v/>
      </c>
      <c r="I7" s="90">
        <f>IF($A7="","",IFERROR(H7/F7,0))</f>
        <v/>
      </c>
      <c r="J7" s="90">
        <f>IF($A7="","",IFERROR(G7/$G$25,0))</f>
        <v/>
      </c>
      <c r="K7" s="109" t="n">
        <v>0.1</v>
      </c>
      <c r="L7" s="107" t="n">
        <v>690</v>
      </c>
      <c r="M7" s="90">
        <f>IF($A7="","",IFERROR(L7/F7,0))</f>
        <v/>
      </c>
      <c r="N7" s="90">
        <f>IF($A7="","",IFERROR((H7+L7)/F7,0))</f>
        <v/>
      </c>
      <c r="O7" s="108">
        <f>IF($A7="","",K7*$G$25-G7)</f>
        <v/>
      </c>
    </row>
    <row r="8">
      <c r="A8" s="69" t="inlineStr">
        <is>
          <t>BBAS3</t>
        </is>
      </c>
      <c r="B8" s="69" t="inlineStr">
        <is>
          <t>Ação</t>
        </is>
      </c>
      <c r="C8" s="106" t="n">
        <v>250</v>
      </c>
      <c r="D8" s="107" t="n">
        <v>26.5</v>
      </c>
      <c r="E8" s="107" t="n">
        <v>28.9</v>
      </c>
      <c r="F8" s="108">
        <f>IF($A8="","",C8*D8)</f>
        <v/>
      </c>
      <c r="G8" s="108">
        <f>IF($A8="","",C8*E8)</f>
        <v/>
      </c>
      <c r="H8" s="108">
        <f>IF($A8="","",G8-F8)</f>
        <v/>
      </c>
      <c r="I8" s="90">
        <f>IF($A8="","",IFERROR(H8/F8,0))</f>
        <v/>
      </c>
      <c r="J8" s="90">
        <f>IF($A8="","",IFERROR(G8/$G$25,0))</f>
        <v/>
      </c>
      <c r="K8" s="109" t="n">
        <v>0.08</v>
      </c>
      <c r="L8" s="107" t="n">
        <v>720</v>
      </c>
      <c r="M8" s="90">
        <f>IF($A8="","",IFERROR(L8/F8,0))</f>
        <v/>
      </c>
      <c r="N8" s="90">
        <f>IF($A8="","",IFERROR((H8+L8)/F8,0))</f>
        <v/>
      </c>
      <c r="O8" s="108">
        <f>IF($A8="","",K8*$G$25-G8)</f>
        <v/>
      </c>
    </row>
    <row r="9">
      <c r="A9" s="69" t="inlineStr">
        <is>
          <t>WEGE3</t>
        </is>
      </c>
      <c r="B9" s="69" t="inlineStr">
        <is>
          <t>Ação</t>
        </is>
      </c>
      <c r="C9" s="106" t="n">
        <v>150</v>
      </c>
      <c r="D9" s="107" t="n">
        <v>36.4</v>
      </c>
      <c r="E9" s="107" t="n">
        <v>41.75</v>
      </c>
      <c r="F9" s="108">
        <f>IF($A9="","",C9*D9)</f>
        <v/>
      </c>
      <c r="G9" s="108">
        <f>IF($A9="","",C9*E9)</f>
        <v/>
      </c>
      <c r="H9" s="108">
        <f>IF($A9="","",G9-F9)</f>
        <v/>
      </c>
      <c r="I9" s="90">
        <f>IF($A9="","",IFERROR(H9/F9,0))</f>
        <v/>
      </c>
      <c r="J9" s="90">
        <f>IF($A9="","",IFERROR(G9/$G$25,0))</f>
        <v/>
      </c>
      <c r="K9" s="109" t="n">
        <v>0.07000000000000001</v>
      </c>
      <c r="L9" s="107" t="n">
        <v>95</v>
      </c>
      <c r="M9" s="90">
        <f>IF($A9="","",IFERROR(L9/F9,0))</f>
        <v/>
      </c>
      <c r="N9" s="90">
        <f>IF($A9="","",IFERROR((H9+L9)/F9,0))</f>
        <v/>
      </c>
      <c r="O9" s="108">
        <f>IF($A9="","",K9*$G$25-G9)</f>
        <v/>
      </c>
    </row>
    <row r="10">
      <c r="A10" s="69" t="inlineStr">
        <is>
          <t>TAEE11</t>
        </is>
      </c>
      <c r="B10" s="69" t="inlineStr">
        <is>
          <t>Ação</t>
        </is>
      </c>
      <c r="C10" s="106" t="n">
        <v>200</v>
      </c>
      <c r="D10" s="107" t="n">
        <v>34.2</v>
      </c>
      <c r="E10" s="107" t="n">
        <v>36.1</v>
      </c>
      <c r="F10" s="108">
        <f>IF($A10="","",C10*D10)</f>
        <v/>
      </c>
      <c r="G10" s="108">
        <f>IF($A10="","",C10*E10)</f>
        <v/>
      </c>
      <c r="H10" s="108">
        <f>IF($A10="","",G10-F10)</f>
        <v/>
      </c>
      <c r="I10" s="90">
        <f>IF($A10="","",IFERROR(H10/F10,0))</f>
        <v/>
      </c>
      <c r="J10" s="90">
        <f>IF($A10="","",IFERROR(G10/$G$25,0))</f>
        <v/>
      </c>
      <c r="K10" s="109" t="n">
        <v>0.05</v>
      </c>
      <c r="L10" s="107" t="n">
        <v>610</v>
      </c>
      <c r="M10" s="90">
        <f>IF($A10="","",IFERROR(L10/F10,0))</f>
        <v/>
      </c>
      <c r="N10" s="90">
        <f>IF($A10="","",IFERROR((H10+L10)/F10,0))</f>
        <v/>
      </c>
      <c r="O10" s="108">
        <f>IF($A10="","",K10*$G$25-G10)</f>
        <v/>
      </c>
    </row>
    <row r="11">
      <c r="A11" s="69" t="inlineStr">
        <is>
          <t>B3SA3</t>
        </is>
      </c>
      <c r="B11" s="69" t="inlineStr">
        <is>
          <t>Ação</t>
        </is>
      </c>
      <c r="C11" s="106" t="n">
        <v>500</v>
      </c>
      <c r="D11" s="107" t="n">
        <v>10.8</v>
      </c>
      <c r="E11" s="107" t="n">
        <v>12.35</v>
      </c>
      <c r="F11" s="108">
        <f>IF($A11="","",C11*D11)</f>
        <v/>
      </c>
      <c r="G11" s="108">
        <f>IF($A11="","",C11*E11)</f>
        <v/>
      </c>
      <c r="H11" s="108">
        <f>IF($A11="","",G11-F11)</f>
        <v/>
      </c>
      <c r="I11" s="90">
        <f>IF($A11="","",IFERROR(H11/F11,0))</f>
        <v/>
      </c>
      <c r="J11" s="90">
        <f>IF($A11="","",IFERROR(G11/$G$25,0))</f>
        <v/>
      </c>
      <c r="K11" s="109" t="n">
        <v>0.05</v>
      </c>
      <c r="L11" s="107" t="n">
        <v>310</v>
      </c>
      <c r="M11" s="90">
        <f>IF($A11="","",IFERROR(L11/F11,0))</f>
        <v/>
      </c>
      <c r="N11" s="90">
        <f>IF($A11="","",IFERROR((H11+L11)/F11,0))</f>
        <v/>
      </c>
      <c r="O11" s="108">
        <f>IF($A11="","",K11*$G$25-G11)</f>
        <v/>
      </c>
    </row>
    <row r="12">
      <c r="A12" s="69" t="inlineStr">
        <is>
          <t>KNRI11</t>
        </is>
      </c>
      <c r="B12" s="69" t="inlineStr">
        <is>
          <t>FII</t>
        </is>
      </c>
      <c r="C12" s="106" t="n">
        <v>80</v>
      </c>
      <c r="D12" s="107" t="n">
        <v>152</v>
      </c>
      <c r="E12" s="107" t="n">
        <v>161.5</v>
      </c>
      <c r="F12" s="108">
        <f>IF($A12="","",C12*D12)</f>
        <v/>
      </c>
      <c r="G12" s="108">
        <f>IF($A12="","",C12*E12)</f>
        <v/>
      </c>
      <c r="H12" s="108">
        <f>IF($A12="","",G12-F12)</f>
        <v/>
      </c>
      <c r="I12" s="90">
        <f>IF($A12="","",IFERROR(H12/F12,0))</f>
        <v/>
      </c>
      <c r="J12" s="90">
        <f>IF($A12="","",IFERROR(G12/$G$25,0))</f>
        <v/>
      </c>
      <c r="K12" s="109" t="n">
        <v>0.1</v>
      </c>
      <c r="L12" s="107" t="n">
        <v>1050</v>
      </c>
      <c r="M12" s="90">
        <f>IF($A12="","",IFERROR(L12/F12,0))</f>
        <v/>
      </c>
      <c r="N12" s="90">
        <f>IF($A12="","",IFERROR((H12+L12)/F12,0))</f>
        <v/>
      </c>
      <c r="O12" s="108">
        <f>IF($A12="","",K12*$G$25-G12)</f>
        <v/>
      </c>
    </row>
    <row r="13">
      <c r="A13" s="69" t="inlineStr">
        <is>
          <t>HGLG11</t>
        </is>
      </c>
      <c r="B13" s="69" t="inlineStr">
        <is>
          <t>FII</t>
        </is>
      </c>
      <c r="C13" s="106" t="n">
        <v>60</v>
      </c>
      <c r="D13" s="107" t="n">
        <v>158.3</v>
      </c>
      <c r="E13" s="107" t="n">
        <v>165.2</v>
      </c>
      <c r="F13" s="108">
        <f>IF($A13="","",C13*D13)</f>
        <v/>
      </c>
      <c r="G13" s="108">
        <f>IF($A13="","",C13*E13)</f>
        <v/>
      </c>
      <c r="H13" s="108">
        <f>IF($A13="","",G13-F13)</f>
        <v/>
      </c>
      <c r="I13" s="90">
        <f>IF($A13="","",IFERROR(H13/F13,0))</f>
        <v/>
      </c>
      <c r="J13" s="90">
        <f>IF($A13="","",IFERROR(G13/$G$25,0))</f>
        <v/>
      </c>
      <c r="K13" s="109" t="n">
        <v>0.1</v>
      </c>
      <c r="L13" s="107" t="n">
        <v>880</v>
      </c>
      <c r="M13" s="90">
        <f>IF($A13="","",IFERROR(L13/F13,0))</f>
        <v/>
      </c>
      <c r="N13" s="90">
        <f>IF($A13="","",IFERROR((H13+L13)/F13,0))</f>
        <v/>
      </c>
      <c r="O13" s="108">
        <f>IF($A13="","",K13*$G$25-G13)</f>
        <v/>
      </c>
    </row>
    <row r="14">
      <c r="A14" s="69" t="inlineStr">
        <is>
          <t>IVVB11</t>
        </is>
      </c>
      <c r="B14" s="69" t="inlineStr">
        <is>
          <t>ETF</t>
        </is>
      </c>
      <c r="C14" s="106" t="n">
        <v>50</v>
      </c>
      <c r="D14" s="107" t="n">
        <v>280</v>
      </c>
      <c r="E14" s="107" t="n">
        <v>341.6</v>
      </c>
      <c r="F14" s="108">
        <f>IF($A14="","",C14*D14)</f>
        <v/>
      </c>
      <c r="G14" s="108">
        <f>IF($A14="","",C14*E14)</f>
        <v/>
      </c>
      <c r="H14" s="108">
        <f>IF($A14="","",G14-F14)</f>
        <v/>
      </c>
      <c r="I14" s="90">
        <f>IF($A14="","",IFERROR(H14/F14,0))</f>
        <v/>
      </c>
      <c r="J14" s="90">
        <f>IF($A14="","",IFERROR(G14/$G$25,0))</f>
        <v/>
      </c>
      <c r="K14" s="109" t="n">
        <v>0.25</v>
      </c>
      <c r="L14" s="107" t="n">
        <v>0</v>
      </c>
      <c r="M14" s="90">
        <f>IF($A14="","",IFERROR(L14/F14,0))</f>
        <v/>
      </c>
      <c r="N14" s="90">
        <f>IF($A14="","",IFERROR((H14+L14)/F14,0))</f>
        <v/>
      </c>
      <c r="O14" s="108">
        <f>IF($A14="","",K14*$G$25-G14)</f>
        <v/>
      </c>
    </row>
    <row r="15">
      <c r="A15" s="69" t="n"/>
      <c r="B15" s="69" t="n"/>
      <c r="C15" s="106" t="n"/>
      <c r="D15" s="107" t="n"/>
      <c r="E15" s="107" t="n"/>
      <c r="F15" s="108">
        <f>IF($A15="","",C15*D15)</f>
        <v/>
      </c>
      <c r="G15" s="108">
        <f>IF($A15="","",C15*E15)</f>
        <v/>
      </c>
      <c r="H15" s="108">
        <f>IF($A15="","",G15-F15)</f>
        <v/>
      </c>
      <c r="I15" s="90">
        <f>IF($A15="","",IFERROR(H15/F15,0))</f>
        <v/>
      </c>
      <c r="J15" s="90">
        <f>IF($A15="","",IFERROR(G15/$G$25,0))</f>
        <v/>
      </c>
      <c r="K15" s="109" t="n"/>
      <c r="L15" s="107" t="n"/>
      <c r="M15" s="90">
        <f>IF($A15="","",IFERROR(L15/F15,0))</f>
        <v/>
      </c>
      <c r="N15" s="90">
        <f>IF($A15="","",IFERROR((H15+L15)/F15,0))</f>
        <v/>
      </c>
      <c r="O15" s="108">
        <f>IF($A15="","",K15*$G$25-G15)</f>
        <v/>
      </c>
    </row>
    <row r="16">
      <c r="A16" s="69" t="n"/>
      <c r="B16" s="69" t="n"/>
      <c r="C16" s="106" t="n"/>
      <c r="D16" s="107" t="n"/>
      <c r="E16" s="107" t="n"/>
      <c r="F16" s="108">
        <f>IF($A16="","",C16*D16)</f>
        <v/>
      </c>
      <c r="G16" s="108">
        <f>IF($A16="","",C16*E16)</f>
        <v/>
      </c>
      <c r="H16" s="108">
        <f>IF($A16="","",G16-F16)</f>
        <v/>
      </c>
      <c r="I16" s="90">
        <f>IF($A16="","",IFERROR(H16/F16,0))</f>
        <v/>
      </c>
      <c r="J16" s="90">
        <f>IF($A16="","",IFERROR(G16/$G$25,0))</f>
        <v/>
      </c>
      <c r="K16" s="109" t="n"/>
      <c r="L16" s="107" t="n"/>
      <c r="M16" s="90">
        <f>IF($A16="","",IFERROR(L16/F16,0))</f>
        <v/>
      </c>
      <c r="N16" s="90">
        <f>IF($A16="","",IFERROR((H16+L16)/F16,0))</f>
        <v/>
      </c>
      <c r="O16" s="108">
        <f>IF($A16="","",K16*$G$25-G16)</f>
        <v/>
      </c>
    </row>
    <row r="17">
      <c r="A17" s="69" t="n"/>
      <c r="B17" s="69" t="n"/>
      <c r="C17" s="106" t="n"/>
      <c r="D17" s="107" t="n"/>
      <c r="E17" s="107" t="n"/>
      <c r="F17" s="108">
        <f>IF($A17="","",C17*D17)</f>
        <v/>
      </c>
      <c r="G17" s="108">
        <f>IF($A17="","",C17*E17)</f>
        <v/>
      </c>
      <c r="H17" s="108">
        <f>IF($A17="","",G17-F17)</f>
        <v/>
      </c>
      <c r="I17" s="90">
        <f>IF($A17="","",IFERROR(H17/F17,0))</f>
        <v/>
      </c>
      <c r="J17" s="90">
        <f>IF($A17="","",IFERROR(G17/$G$25,0))</f>
        <v/>
      </c>
      <c r="K17" s="109" t="n"/>
      <c r="L17" s="107" t="n"/>
      <c r="M17" s="90">
        <f>IF($A17="","",IFERROR(L17/F17,0))</f>
        <v/>
      </c>
      <c r="N17" s="90">
        <f>IF($A17="","",IFERROR((H17+L17)/F17,0))</f>
        <v/>
      </c>
      <c r="O17" s="108">
        <f>IF($A17="","",K17*$G$25-G17)</f>
        <v/>
      </c>
    </row>
    <row r="18">
      <c r="A18" s="69" t="n"/>
      <c r="B18" s="69" t="n"/>
      <c r="C18" s="106" t="n"/>
      <c r="D18" s="107" t="n"/>
      <c r="E18" s="107" t="n"/>
      <c r="F18" s="108">
        <f>IF($A18="","",C18*D18)</f>
        <v/>
      </c>
      <c r="G18" s="108">
        <f>IF($A18="","",C18*E18)</f>
        <v/>
      </c>
      <c r="H18" s="108">
        <f>IF($A18="","",G18-F18)</f>
        <v/>
      </c>
      <c r="I18" s="90">
        <f>IF($A18="","",IFERROR(H18/F18,0))</f>
        <v/>
      </c>
      <c r="J18" s="90">
        <f>IF($A18="","",IFERROR(G18/$G$25,0))</f>
        <v/>
      </c>
      <c r="K18" s="109" t="n"/>
      <c r="L18" s="107" t="n"/>
      <c r="M18" s="90">
        <f>IF($A18="","",IFERROR(L18/F18,0))</f>
        <v/>
      </c>
      <c r="N18" s="90">
        <f>IF($A18="","",IFERROR((H18+L18)/F18,0))</f>
        <v/>
      </c>
      <c r="O18" s="108">
        <f>IF($A18="","",K18*$G$25-G18)</f>
        <v/>
      </c>
    </row>
    <row r="19">
      <c r="A19" s="69" t="n"/>
      <c r="B19" s="69" t="n"/>
      <c r="C19" s="106" t="n"/>
      <c r="D19" s="107" t="n"/>
      <c r="E19" s="107" t="n"/>
      <c r="F19" s="108">
        <f>IF($A19="","",C19*D19)</f>
        <v/>
      </c>
      <c r="G19" s="108">
        <f>IF($A19="","",C19*E19)</f>
        <v/>
      </c>
      <c r="H19" s="108">
        <f>IF($A19="","",G19-F19)</f>
        <v/>
      </c>
      <c r="I19" s="90">
        <f>IF($A19="","",IFERROR(H19/F19,0))</f>
        <v/>
      </c>
      <c r="J19" s="90">
        <f>IF($A19="","",IFERROR(G19/$G$25,0))</f>
        <v/>
      </c>
      <c r="K19" s="109" t="n"/>
      <c r="L19" s="107" t="n"/>
      <c r="M19" s="90">
        <f>IF($A19="","",IFERROR(L19/F19,0))</f>
        <v/>
      </c>
      <c r="N19" s="90">
        <f>IF($A19="","",IFERROR((H19+L19)/F19,0))</f>
        <v/>
      </c>
      <c r="O19" s="108">
        <f>IF($A19="","",K19*$G$25-G19)</f>
        <v/>
      </c>
    </row>
    <row r="20">
      <c r="A20" s="69" t="n"/>
      <c r="B20" s="69" t="n"/>
      <c r="C20" s="106" t="n"/>
      <c r="D20" s="107" t="n"/>
      <c r="E20" s="107" t="n"/>
      <c r="F20" s="108">
        <f>IF($A20="","",C20*D20)</f>
        <v/>
      </c>
      <c r="G20" s="108">
        <f>IF($A20="","",C20*E20)</f>
        <v/>
      </c>
      <c r="H20" s="108">
        <f>IF($A20="","",G20-F20)</f>
        <v/>
      </c>
      <c r="I20" s="90">
        <f>IF($A20="","",IFERROR(H20/F20,0))</f>
        <v/>
      </c>
      <c r="J20" s="90">
        <f>IF($A20="","",IFERROR(G20/$G$25,0))</f>
        <v/>
      </c>
      <c r="K20" s="109" t="n"/>
      <c r="L20" s="107" t="n"/>
      <c r="M20" s="90">
        <f>IF($A20="","",IFERROR(L20/F20,0))</f>
        <v/>
      </c>
      <c r="N20" s="90">
        <f>IF($A20="","",IFERROR((H20+L20)/F20,0))</f>
        <v/>
      </c>
      <c r="O20" s="108">
        <f>IF($A20="","",K20*$G$25-G20)</f>
        <v/>
      </c>
    </row>
    <row r="21">
      <c r="A21" s="69" t="n"/>
      <c r="B21" s="69" t="n"/>
      <c r="C21" s="106" t="n"/>
      <c r="D21" s="107" t="n"/>
      <c r="E21" s="107" t="n"/>
      <c r="F21" s="108">
        <f>IF($A21="","",C21*D21)</f>
        <v/>
      </c>
      <c r="G21" s="108">
        <f>IF($A21="","",C21*E21)</f>
        <v/>
      </c>
      <c r="H21" s="108">
        <f>IF($A21="","",G21-F21)</f>
        <v/>
      </c>
      <c r="I21" s="90">
        <f>IF($A21="","",IFERROR(H21/F21,0))</f>
        <v/>
      </c>
      <c r="J21" s="90">
        <f>IF($A21="","",IFERROR(G21/$G$25,0))</f>
        <v/>
      </c>
      <c r="K21" s="109" t="n"/>
      <c r="L21" s="107" t="n"/>
      <c r="M21" s="90">
        <f>IF($A21="","",IFERROR(L21/F21,0))</f>
        <v/>
      </c>
      <c r="N21" s="90">
        <f>IF($A21="","",IFERROR((H21+L21)/F21,0))</f>
        <v/>
      </c>
      <c r="O21" s="108">
        <f>IF($A21="","",K21*$G$25-G21)</f>
        <v/>
      </c>
    </row>
    <row r="22">
      <c r="A22" s="69" t="n"/>
      <c r="B22" s="69" t="n"/>
      <c r="C22" s="106" t="n"/>
      <c r="D22" s="107" t="n"/>
      <c r="E22" s="107" t="n"/>
      <c r="F22" s="108">
        <f>IF($A22="","",C22*D22)</f>
        <v/>
      </c>
      <c r="G22" s="108">
        <f>IF($A22="","",C22*E22)</f>
        <v/>
      </c>
      <c r="H22" s="108">
        <f>IF($A22="","",G22-F22)</f>
        <v/>
      </c>
      <c r="I22" s="90">
        <f>IF($A22="","",IFERROR(H22/F22,0))</f>
        <v/>
      </c>
      <c r="J22" s="90">
        <f>IF($A22="","",IFERROR(G22/$G$25,0))</f>
        <v/>
      </c>
      <c r="K22" s="109" t="n"/>
      <c r="L22" s="107" t="n"/>
      <c r="M22" s="90">
        <f>IF($A22="","",IFERROR(L22/F22,0))</f>
        <v/>
      </c>
      <c r="N22" s="90">
        <f>IF($A22="","",IFERROR((H22+L22)/F22,0))</f>
        <v/>
      </c>
      <c r="O22" s="108">
        <f>IF($A22="","",K22*$G$25-G22)</f>
        <v/>
      </c>
    </row>
    <row r="23">
      <c r="A23" s="69" t="n"/>
      <c r="B23" s="69" t="n"/>
      <c r="C23" s="106" t="n"/>
      <c r="D23" s="107" t="n"/>
      <c r="E23" s="107" t="n"/>
      <c r="F23" s="108">
        <f>IF($A23="","",C23*D23)</f>
        <v/>
      </c>
      <c r="G23" s="108">
        <f>IF($A23="","",C23*E23)</f>
        <v/>
      </c>
      <c r="H23" s="108">
        <f>IF($A23="","",G23-F23)</f>
        <v/>
      </c>
      <c r="I23" s="90">
        <f>IF($A23="","",IFERROR(H23/F23,0))</f>
        <v/>
      </c>
      <c r="J23" s="90">
        <f>IF($A23="","",IFERROR(G23/$G$25,0))</f>
        <v/>
      </c>
      <c r="K23" s="109" t="n"/>
      <c r="L23" s="107" t="n"/>
      <c r="M23" s="90">
        <f>IF($A23="","",IFERROR(L23/F23,0))</f>
        <v/>
      </c>
      <c r="N23" s="90">
        <f>IF($A23="","",IFERROR((H23+L23)/F23,0))</f>
        <v/>
      </c>
      <c r="O23" s="108">
        <f>IF($A23="","",K23*$G$25-G23)</f>
        <v/>
      </c>
    </row>
    <row r="24">
      <c r="A24" s="69" t="n"/>
      <c r="B24" s="69" t="n"/>
      <c r="C24" s="106" t="n"/>
      <c r="D24" s="107" t="n"/>
      <c r="E24" s="107" t="n"/>
      <c r="F24" s="108">
        <f>IF($A24="","",C24*D24)</f>
        <v/>
      </c>
      <c r="G24" s="108">
        <f>IF($A24="","",C24*E24)</f>
        <v/>
      </c>
      <c r="H24" s="108">
        <f>IF($A24="","",G24-F24)</f>
        <v/>
      </c>
      <c r="I24" s="90">
        <f>IF($A24="","",IFERROR(H24/F24,0))</f>
        <v/>
      </c>
      <c r="J24" s="90">
        <f>IF($A24="","",IFERROR(G24/$G$25,0))</f>
        <v/>
      </c>
      <c r="K24" s="109" t="n"/>
      <c r="L24" s="107" t="n"/>
      <c r="M24" s="90">
        <f>IF($A24="","",IFERROR(L24/F24,0))</f>
        <v/>
      </c>
      <c r="N24" s="90">
        <f>IF($A24="","",IFERROR((H24+L24)/F24,0))</f>
        <v/>
      </c>
      <c r="O24" s="108">
        <f>IF($A24="","",K24*$G$25-G24)</f>
        <v/>
      </c>
    </row>
    <row r="25">
      <c r="A25" s="110" t="inlineStr">
        <is>
          <t>TOTAL DA CARTEIRA</t>
        </is>
      </c>
      <c r="B25" s="110" t="n"/>
      <c r="C25" s="110" t="n"/>
      <c r="D25" s="110" t="n"/>
      <c r="E25" s="110" t="n"/>
      <c r="F25" s="111">
        <f>SUM(F5:F24)</f>
        <v/>
      </c>
      <c r="G25" s="111">
        <f>SUM(G5:G24)</f>
        <v/>
      </c>
      <c r="H25" s="111">
        <f>G25-F25</f>
        <v/>
      </c>
      <c r="I25" s="112">
        <f>IFERROR(H25/F25,"")</f>
        <v/>
      </c>
      <c r="J25" s="112">
        <f>IFERROR(G25/G25,"")</f>
        <v/>
      </c>
      <c r="K25" s="112">
        <f>SUM(K5:K24)</f>
        <v/>
      </c>
      <c r="L25" s="111">
        <f>SUM(L5:L24)</f>
        <v/>
      </c>
      <c r="M25" s="112">
        <f>IFERROR(L25/F25,"")</f>
        <v/>
      </c>
      <c r="N25" s="112">
        <f>IFERROR((H25+L25)/F25,"")</f>
        <v/>
      </c>
      <c r="O25" s="110" t="n"/>
    </row>
    <row r="27">
      <c r="A27" s="113" t="inlineStr">
        <is>
          <t>Soma dos Alvos (deve dar 100%)</t>
        </is>
      </c>
      <c r="C27" s="114">
        <f>SUM(K5:K24)</f>
        <v/>
      </c>
      <c r="D27">
        <f>IF(ROUND(C27,4)=1,"✔ OK","⚠ ajuste os alvos")</f>
        <v/>
      </c>
    </row>
    <row r="29" ht="22" customHeight="1">
      <c r="A29" s="115" t="inlineStr">
        <is>
          <t>RESUMO POR CLASSE DE ATIVO</t>
        </is>
      </c>
    </row>
    <row r="30" ht="26" customHeight="1">
      <c r="A30" s="116" t="inlineStr">
        <is>
          <t>Classe</t>
        </is>
      </c>
      <c r="B30" s="116" t="inlineStr">
        <is>
          <t>Valor Atual</t>
        </is>
      </c>
      <c r="C30" s="116" t="inlineStr">
        <is>
          <t>% Carteira</t>
        </is>
      </c>
      <c r="D30" s="116" t="inlineStr">
        <is>
          <t>Alvo %</t>
        </is>
      </c>
      <c r="E30" s="116" t="inlineStr">
        <is>
          <t>Resultado R$</t>
        </is>
      </c>
    </row>
    <row r="31">
      <c r="A31" s="87" t="inlineStr">
        <is>
          <t>Ação</t>
        </is>
      </c>
      <c r="B31" s="89">
        <f>SUMIF($B$5:$B$24,$A31,$G$5:$G$24)</f>
        <v/>
      </c>
      <c r="C31" s="90">
        <f>IFERROR(B31/$G$25,0)</f>
        <v/>
      </c>
      <c r="D31" s="90">
        <f>SUMIF($B$5:$B$24,$A31,$K$5:$K$24)</f>
        <v/>
      </c>
      <c r="E31" s="89">
        <f>SUMIF($B$5:$B$24,$A31,$H$5:$H$24)</f>
        <v/>
      </c>
    </row>
    <row r="32">
      <c r="A32" s="87" t="inlineStr">
        <is>
          <t>FII</t>
        </is>
      </c>
      <c r="B32" s="89">
        <f>SUMIF($B$5:$B$24,$A32,$G$5:$G$24)</f>
        <v/>
      </c>
      <c r="C32" s="90">
        <f>IFERROR(B32/$G$25,0)</f>
        <v/>
      </c>
      <c r="D32" s="90">
        <f>SUMIF($B$5:$B$24,$A32,$K$5:$K$24)</f>
        <v/>
      </c>
      <c r="E32" s="89">
        <f>SUMIF($B$5:$B$24,$A32,$H$5:$H$24)</f>
        <v/>
      </c>
    </row>
    <row r="33">
      <c r="A33" s="87" t="inlineStr">
        <is>
          <t>ETF</t>
        </is>
      </c>
      <c r="B33" s="89">
        <f>SUMIF($B$5:$B$24,$A33,$G$5:$G$24)</f>
        <v/>
      </c>
      <c r="C33" s="90">
        <f>IFERROR(B33/$G$25,0)</f>
        <v/>
      </c>
      <c r="D33" s="90">
        <f>SUMIF($B$5:$B$24,$A33,$K$5:$K$24)</f>
        <v/>
      </c>
      <c r="E33" s="89">
        <f>SUMIF($B$5:$B$24,$A33,$H$5:$H$24)</f>
        <v/>
      </c>
    </row>
    <row r="34">
      <c r="A34" s="87" t="inlineStr">
        <is>
          <t>BDR</t>
        </is>
      </c>
      <c r="B34" s="89">
        <f>SUMIF($B$5:$B$24,$A34,$G$5:$G$24)</f>
        <v/>
      </c>
      <c r="C34" s="90">
        <f>IFERROR(B34/$G$25,0)</f>
        <v/>
      </c>
      <c r="D34" s="90">
        <f>SUMIF($B$5:$B$24,$A34,$K$5:$K$24)</f>
        <v/>
      </c>
      <c r="E34" s="89">
        <f>SUMIF($B$5:$B$24,$A34,$H$5:$H$24)</f>
        <v/>
      </c>
    </row>
    <row r="35">
      <c r="A35" s="87" t="inlineStr">
        <is>
          <t>Renda Fixa</t>
        </is>
      </c>
      <c r="B35" s="89">
        <f>SUMIF($B$5:$B$24,$A35,$G$5:$G$24)</f>
        <v/>
      </c>
      <c r="C35" s="90">
        <f>IFERROR(B35/$G$25,0)</f>
        <v/>
      </c>
      <c r="D35" s="90">
        <f>SUMIF($B$5:$B$24,$A35,$K$5:$K$24)</f>
        <v/>
      </c>
      <c r="E35" s="89">
        <f>SUMIF($B$5:$B$24,$A35,$H$5:$H$24)</f>
        <v/>
      </c>
    </row>
    <row r="36">
      <c r="A36" s="87" t="inlineStr">
        <is>
          <t>Cripto</t>
        </is>
      </c>
      <c r="B36" s="89">
        <f>SUMIF($B$5:$B$24,$A36,$G$5:$G$24)</f>
        <v/>
      </c>
      <c r="C36" s="90">
        <f>IFERROR(B36/$G$25,0)</f>
        <v/>
      </c>
      <c r="D36" s="90">
        <f>SUMIF($B$5:$B$24,$A36,$K$5:$K$24)</f>
        <v/>
      </c>
      <c r="E36" s="89">
        <f>SUMIF($B$5:$B$24,$A36,$H$5:$H$24)</f>
        <v/>
      </c>
    </row>
    <row r="38" ht="22" customHeight="1">
      <c r="A38" s="115" t="inlineStr">
        <is>
          <t>INDICADORES DA CARTEIRA</t>
        </is>
      </c>
    </row>
    <row r="39">
      <c r="A39" s="87" t="inlineStr">
        <is>
          <t>Total Investido</t>
        </is>
      </c>
      <c r="B39" s="69" t="n"/>
      <c r="C39" s="117">
        <f>G25-H25</f>
        <v/>
      </c>
    </row>
    <row r="40">
      <c r="A40" s="87" t="inlineStr">
        <is>
          <t>Valor Atual</t>
        </is>
      </c>
      <c r="B40" s="69" t="n"/>
      <c r="C40" s="117">
        <f>G25</f>
        <v/>
      </c>
    </row>
    <row r="41">
      <c r="A41" s="87" t="inlineStr">
        <is>
          <t>Resultado (R$)</t>
        </is>
      </c>
      <c r="B41" s="69" t="n"/>
      <c r="C41" s="117">
        <f>H25</f>
        <v/>
      </c>
    </row>
    <row r="42">
      <c r="A42" s="87" t="inlineStr">
        <is>
          <t>Resultado (%)</t>
        </is>
      </c>
      <c r="B42" s="69" t="n"/>
      <c r="C42" s="118">
        <f>IFERROR(H25/F25,0)</f>
        <v/>
      </c>
    </row>
    <row r="43">
      <c r="A43" s="87" t="inlineStr">
        <is>
          <t>Dividendos 12m</t>
        </is>
      </c>
      <c r="B43" s="69" t="n"/>
      <c r="C43" s="117">
        <f>L25</f>
        <v/>
      </c>
    </row>
    <row r="44">
      <c r="A44" s="87" t="inlineStr">
        <is>
          <t>Yield da Carteira</t>
        </is>
      </c>
      <c r="B44" s="69" t="n"/>
      <c r="C44" s="118">
        <f>IFERROR(L25/F25,0)</f>
        <v/>
      </c>
    </row>
    <row r="45">
      <c r="A45" s="87" t="inlineStr">
        <is>
          <t>Retorno Total (c/ div.)</t>
        </is>
      </c>
      <c r="B45" s="69" t="n"/>
      <c r="C45" s="118">
        <f>IFERROR((H25+L25)/F25,0)</f>
        <v/>
      </c>
    </row>
    <row r="46">
      <c r="A46" s="87" t="inlineStr">
        <is>
          <t>Nº de Ativos</t>
        </is>
      </c>
      <c r="B46" s="69" t="n"/>
      <c r="C46" s="119">
        <f>COUNTA(A5:A24)</f>
        <v/>
      </c>
    </row>
  </sheetData>
  <mergeCells count="4">
    <mergeCell ref="A38:E38"/>
    <mergeCell ref="A29:E29"/>
    <mergeCell ref="A2:O2"/>
    <mergeCell ref="A1:N1"/>
  </mergeCells>
  <conditionalFormatting sqref="H5:I25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N5:N25">
    <cfRule type="cellIs" priority="3" operator="greaterThan" dxfId="5">
      <formula>0</formula>
    </cfRule>
    <cfRule type="cellIs" priority="4" operator="lessThan" dxfId="3">
      <formula>0</formula>
    </cfRule>
  </conditionalFormatting>
  <conditionalFormatting sqref="O5:O24">
    <cfRule type="cellIs" priority="5" operator="greaterThan" dxfId="5">
      <formula>1</formula>
    </cfRule>
    <cfRule type="cellIs" priority="6" operator="lessThan" dxfId="3">
      <formula>-1</formula>
    </cfRule>
  </conditionalFormatting>
  <conditionalFormatting sqref="C27">
    <cfRule type="cellIs" priority="7" operator="equal" dxfId="0">
      <formula>1</formula>
    </cfRule>
    <cfRule type="cellIs" priority="8" operator="notEqual" dxfId="1">
      <formula>1</formula>
    </cfRule>
  </conditionalFormatting>
  <dataValidations count="1">
    <dataValidation sqref="B5:B24" showDropDown="0" showInputMessage="0" showErrorMessage="0" allowBlank="1" type="list">
      <formula1>=Config!$K$2:$K$7</formula1>
    </dataValidation>
  </dataValidations>
  <hyperlinks>
    <hyperlink ref="O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E7C7B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5" customWidth="1" min="4" max="4"/>
    <col width="14" customWidth="1" min="5" max="5"/>
    <col width="13" customWidth="1" min="6" max="6"/>
    <col width="17" customWidth="1" min="7" max="7"/>
    <col width="13" customWidth="1" min="8" max="8"/>
  </cols>
  <sheetData>
    <row r="1" ht="34" customHeight="1">
      <c r="A1" s="120" t="inlineStr">
        <is>
          <t>🏦  PATRIMÔNIO LÍQUIDO &amp; RESERVA DE EMERGÊNCIA</t>
        </is>
      </c>
      <c r="H1" s="121" t="inlineStr">
        <is>
          <t>🏠 Início</t>
        </is>
      </c>
    </row>
    <row r="2" ht="26" customHeight="1">
      <c r="A2" s="77" t="inlineStr">
        <is>
          <t>Tire uma 'foto' do seu patrimônio a cada mês (células amarelas). Patrimônio Líquido = tudo que você tem menos o que deve. Investimentos pode ser puxado da aba Carteira (total R$).</t>
        </is>
      </c>
    </row>
    <row r="3">
      <c r="A3" s="122" t="inlineStr">
        <is>
          <t>💡 Total atual da Carteira (copie na coluna Investimentos) →</t>
        </is>
      </c>
      <c r="D3" s="123">
        <f>Carteira!$G$25</f>
        <v/>
      </c>
    </row>
    <row r="4" ht="28" customHeight="1">
      <c r="A4" s="124" t="inlineStr">
        <is>
          <t>Mês</t>
        </is>
      </c>
      <c r="B4" s="124" t="inlineStr">
        <is>
          <t>Conta / Liquidez</t>
        </is>
      </c>
      <c r="C4" s="124" t="inlineStr">
        <is>
          <t>Reserva Emergência</t>
        </is>
      </c>
      <c r="D4" s="124" t="inlineStr">
        <is>
          <t>Investimentos</t>
        </is>
      </c>
      <c r="E4" s="124" t="inlineStr">
        <is>
          <t>Outros Ativos</t>
        </is>
      </c>
      <c r="F4" s="124" t="inlineStr">
        <is>
          <t>Dívidas</t>
        </is>
      </c>
      <c r="G4" s="124" t="inlineStr">
        <is>
          <t>Patrimônio Líquido</t>
        </is>
      </c>
      <c r="H4" s="124" t="inlineStr">
        <is>
          <t>Variação</t>
        </is>
      </c>
    </row>
    <row r="5">
      <c r="A5" s="125" t="inlineStr">
        <is>
          <t>Jan/26</t>
        </is>
      </c>
      <c r="B5" s="88" t="n">
        <v>4200</v>
      </c>
      <c r="C5" s="88" t="n">
        <v>18000</v>
      </c>
      <c r="D5" s="88" t="n">
        <v>92000</v>
      </c>
      <c r="E5" s="88" t="n">
        <v>5000</v>
      </c>
      <c r="F5" s="88" t="n">
        <v>12000</v>
      </c>
      <c r="G5" s="126">
        <f>IF(COUNT(B5:F5)=0,"",B5+C5+D5+E5-F5)</f>
        <v/>
      </c>
      <c r="H5" s="127">
        <f>""</f>
        <v/>
      </c>
    </row>
    <row r="6">
      <c r="A6" s="125" t="inlineStr">
        <is>
          <t>Fev/26</t>
        </is>
      </c>
      <c r="B6" s="88" t="n">
        <v>4500</v>
      </c>
      <c r="C6" s="88" t="n">
        <v>19000</v>
      </c>
      <c r="D6" s="88" t="n">
        <v>95500</v>
      </c>
      <c r="E6" s="88" t="n">
        <v>5000</v>
      </c>
      <c r="F6" s="88" t="n">
        <v>11200</v>
      </c>
      <c r="G6" s="126">
        <f>IF(COUNT(B6:F6)=0,"",B6+C6+D6+E6-F6)</f>
        <v/>
      </c>
      <c r="H6" s="127">
        <f>IF(OR(G6="",G5=""),"",G6-G5)</f>
        <v/>
      </c>
    </row>
    <row r="7">
      <c r="A7" s="125" t="inlineStr">
        <is>
          <t>Mar/26</t>
        </is>
      </c>
      <c r="B7" s="88" t="n">
        <v>4800</v>
      </c>
      <c r="C7" s="88" t="n">
        <v>20000</v>
      </c>
      <c r="D7" s="88" t="n">
        <v>98800</v>
      </c>
      <c r="E7" s="88" t="n">
        <v>5000</v>
      </c>
      <c r="F7" s="88" t="n">
        <v>10400</v>
      </c>
      <c r="G7" s="126">
        <f>IF(COUNT(B7:F7)=0,"",B7+C7+D7+E7-F7)</f>
        <v/>
      </c>
      <c r="H7" s="127">
        <f>IF(OR(G7="",G6=""),"",G7-G6)</f>
        <v/>
      </c>
    </row>
    <row r="8">
      <c r="A8" s="125" t="inlineStr">
        <is>
          <t>Abr/26</t>
        </is>
      </c>
      <c r="B8" s="88" t="n">
        <v>5100</v>
      </c>
      <c r="C8" s="88" t="n">
        <v>21000</v>
      </c>
      <c r="D8" s="88" t="n">
        <v>101200</v>
      </c>
      <c r="E8" s="88" t="n">
        <v>5000</v>
      </c>
      <c r="F8" s="88" t="n">
        <v>9600</v>
      </c>
      <c r="G8" s="126">
        <f>IF(COUNT(B8:F8)=0,"",B8+C8+D8+E8-F8)</f>
        <v/>
      </c>
      <c r="H8" s="127">
        <f>IF(OR(G8="",G7=""),"",G8-G7)</f>
        <v/>
      </c>
    </row>
    <row r="9">
      <c r="A9" s="125" t="inlineStr">
        <is>
          <t>Mai/26</t>
        </is>
      </c>
      <c r="B9" s="88" t="n">
        <v>5400</v>
      </c>
      <c r="C9" s="88" t="n">
        <v>22000</v>
      </c>
      <c r="D9" s="88" t="n">
        <v>103000</v>
      </c>
      <c r="E9" s="88" t="n">
        <v>5000</v>
      </c>
      <c r="F9" s="88" t="n">
        <v>8800</v>
      </c>
      <c r="G9" s="126">
        <f>IF(COUNT(B9:F9)=0,"",B9+C9+D9+E9-F9)</f>
        <v/>
      </c>
      <c r="H9" s="127">
        <f>IF(OR(G9="",G8=""),"",G9-G8)</f>
        <v/>
      </c>
    </row>
    <row r="10">
      <c r="A10" s="125" t="inlineStr">
        <is>
          <t>Jun/26</t>
        </is>
      </c>
      <c r="B10" s="88" t="n">
        <v>5700</v>
      </c>
      <c r="C10" s="88" t="n">
        <v>23000</v>
      </c>
      <c r="D10" s="88" t="n">
        <v>104695</v>
      </c>
      <c r="E10" s="88" t="n">
        <v>5000</v>
      </c>
      <c r="F10" s="88" t="n">
        <v>8000</v>
      </c>
      <c r="G10" s="126">
        <f>IF(COUNT(B10:F10)=0,"",B10+C10+D10+E10-F10)</f>
        <v/>
      </c>
      <c r="H10" s="127">
        <f>IF(OR(G10="",G9=""),"",G10-G9)</f>
        <v/>
      </c>
    </row>
    <row r="11">
      <c r="A11" s="125" t="n"/>
      <c r="B11" s="88" t="n"/>
      <c r="C11" s="88" t="n"/>
      <c r="D11" s="88" t="n"/>
      <c r="E11" s="88" t="n"/>
      <c r="F11" s="88" t="n"/>
      <c r="G11" s="126">
        <f>IF(COUNT(B11:F11)=0,"",B11+C11+D11+E11-F11)</f>
        <v/>
      </c>
      <c r="H11" s="127">
        <f>IF(OR(G11="",G10=""),"",G11-G10)</f>
        <v/>
      </c>
    </row>
    <row r="12">
      <c r="A12" s="125" t="n"/>
      <c r="B12" s="88" t="n"/>
      <c r="C12" s="88" t="n"/>
      <c r="D12" s="88" t="n"/>
      <c r="E12" s="88" t="n"/>
      <c r="F12" s="88" t="n"/>
      <c r="G12" s="126">
        <f>IF(COUNT(B12:F12)=0,"",B12+C12+D12+E12-F12)</f>
        <v/>
      </c>
      <c r="H12" s="127">
        <f>IF(OR(G12="",G11=""),"",G12-G11)</f>
        <v/>
      </c>
    </row>
    <row r="13">
      <c r="A13" s="125" t="n"/>
      <c r="B13" s="88" t="n"/>
      <c r="C13" s="88" t="n"/>
      <c r="D13" s="88" t="n"/>
      <c r="E13" s="88" t="n"/>
      <c r="F13" s="88" t="n"/>
      <c r="G13" s="126">
        <f>IF(COUNT(B13:F13)=0,"",B13+C13+D13+E13-F13)</f>
        <v/>
      </c>
      <c r="H13" s="127">
        <f>IF(OR(G13="",G12=""),"",G13-G12)</f>
        <v/>
      </c>
    </row>
    <row r="14">
      <c r="A14" s="125" t="n"/>
      <c r="B14" s="88" t="n"/>
      <c r="C14" s="88" t="n"/>
      <c r="D14" s="88" t="n"/>
      <c r="E14" s="88" t="n"/>
      <c r="F14" s="88" t="n"/>
      <c r="G14" s="126">
        <f>IF(COUNT(B14:F14)=0,"",B14+C14+D14+E14-F14)</f>
        <v/>
      </c>
      <c r="H14" s="127">
        <f>IF(OR(G14="",G13=""),"",G14-G13)</f>
        <v/>
      </c>
    </row>
    <row r="15">
      <c r="A15" s="125" t="n"/>
      <c r="B15" s="88" t="n"/>
      <c r="C15" s="88" t="n"/>
      <c r="D15" s="88" t="n"/>
      <c r="E15" s="88" t="n"/>
      <c r="F15" s="88" t="n"/>
      <c r="G15" s="126">
        <f>IF(COUNT(B15:F15)=0,"",B15+C15+D15+E15-F15)</f>
        <v/>
      </c>
      <c r="H15" s="127">
        <f>IF(OR(G15="",G14=""),"",G15-G14)</f>
        <v/>
      </c>
    </row>
    <row r="16">
      <c r="A16" s="125" t="n"/>
      <c r="B16" s="88" t="n"/>
      <c r="C16" s="88" t="n"/>
      <c r="D16" s="88" t="n"/>
      <c r="E16" s="88" t="n"/>
      <c r="F16" s="88" t="n"/>
      <c r="G16" s="126">
        <f>IF(COUNT(B16:F16)=0,"",B16+C16+D16+E16-F16)</f>
        <v/>
      </c>
      <c r="H16" s="127">
        <f>IF(OR(G16="",G15=""),"",G16-G15)</f>
        <v/>
      </c>
    </row>
    <row r="18" ht="22" customHeight="1">
      <c r="A18" s="128" t="inlineStr">
        <is>
          <t>RESERVA DE EMERGÊNCIA</t>
        </is>
      </c>
    </row>
    <row r="19">
      <c r="A19" s="129" t="inlineStr">
        <is>
          <t>Custo de vida mensal (R$)</t>
        </is>
      </c>
      <c r="B19" s="88" t="n">
        <v>6000</v>
      </c>
    </row>
    <row r="20">
      <c r="A20" s="129" t="inlineStr">
        <is>
          <t>Meses de segurança desejados</t>
        </is>
      </c>
      <c r="B20" s="130" t="n">
        <v>6</v>
      </c>
    </row>
    <row r="21">
      <c r="A21" s="87" t="inlineStr">
        <is>
          <t>Meta da reserva</t>
        </is>
      </c>
      <c r="B21" s="131">
        <f>B19*B20</f>
        <v/>
      </c>
    </row>
    <row r="22">
      <c r="A22" s="87" t="inlineStr">
        <is>
          <t>Reserva atual (último mês)</t>
        </is>
      </c>
      <c r="B22" s="131">
        <f>IFERROR(LOOKUP(2,1/(C5:C16&lt;&gt;""),C5:C16),0)</f>
        <v/>
      </c>
    </row>
    <row r="23">
      <c r="A23" s="87" t="inlineStr">
        <is>
          <t>% da meta atingida</t>
        </is>
      </c>
      <c r="B23" s="132">
        <f>IFERROR(B22/B21,0)</f>
        <v/>
      </c>
    </row>
    <row r="24">
      <c r="A24" s="87" t="inlineStr">
        <is>
          <t>Falta guardar</t>
        </is>
      </c>
      <c r="B24" s="131">
        <f>MAX(0,B21-B22)</f>
        <v/>
      </c>
    </row>
  </sheetData>
  <mergeCells count="4">
    <mergeCell ref="A3:C3"/>
    <mergeCell ref="A18:D18"/>
    <mergeCell ref="A2:H2"/>
    <mergeCell ref="A1:G1"/>
  </mergeCells>
  <conditionalFormatting sqref="H5:H16">
    <cfRule type="cellIs" priority="1" operator="greaterThan" dxfId="5">
      <formula>0</formula>
    </cfRule>
    <cfRule type="cellIs" priority="2" operator="lessThan" dxfId="3">
      <formula>0</formula>
    </cfRule>
  </conditionalFormatting>
  <conditionalFormatting sqref="B23">
    <cfRule type="dataBar" priority="3">
      <dataBar>
        <cfvo type="num" val="0"/>
        <cfvo type="num" val="1"/>
        <color rgb="000E7C7B"/>
      </dataBar>
    </cfRule>
  </conditionalFormatting>
  <hyperlinks>
    <hyperlink ref="H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334155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4" customHeight="1">
      <c r="A1" s="133" t="inlineStr">
        <is>
          <t>🧮  SIMULADOR DE INVESTIMENTOS — JUROS COMPOSTOS</t>
        </is>
      </c>
      <c r="I1" s="134" t="inlineStr">
        <is>
          <t>🏠 Início</t>
        </is>
      </c>
    </row>
    <row r="3" ht="22" customHeight="1">
      <c r="A3" s="135" t="inlineStr">
        <is>
          <t>PARÂMETROS (edite as células amarelas)</t>
        </is>
      </c>
      <c r="D3" s="135" t="inlineStr">
        <is>
          <t>RESULTADO NO PRAZO (cenário Moderado)</t>
        </is>
      </c>
    </row>
    <row r="4">
      <c r="A4" s="136" t="inlineStr">
        <is>
          <t>Aporte inicial (R$)</t>
        </is>
      </c>
      <c r="B4" s="137" t="n">
        <v>10000</v>
      </c>
      <c r="D4" s="136" t="inlineStr">
        <is>
          <t>Patrimônio final (nominal)</t>
        </is>
      </c>
      <c r="E4" s="138">
        <f>IFERROR(INDEX($D$13:$D$43,MATCH($B$6,$A$13:$A$43,0)),"-")</f>
        <v/>
      </c>
    </row>
    <row r="5">
      <c r="A5" s="136" t="inlineStr">
        <is>
          <t>Aporte mensal (R$)</t>
        </is>
      </c>
      <c r="B5" s="137" t="n">
        <v>1500</v>
      </c>
      <c r="D5" s="136" t="inlineStr">
        <is>
          <t>Total aportado</t>
        </is>
      </c>
      <c r="E5" s="138">
        <f>IFERROR(INDEX($B$13:$B$43,MATCH($B$6,$A$13:$A$43,0)),"-")</f>
        <v/>
      </c>
    </row>
    <row r="6">
      <c r="A6" s="136" t="inlineStr">
        <is>
          <t>Prazo para análise (anos, 1 a 30)</t>
        </is>
      </c>
      <c r="B6" s="139" t="n">
        <v>25</v>
      </c>
      <c r="D6" s="136" t="inlineStr">
        <is>
          <t>Juros acumulados</t>
        </is>
      </c>
      <c r="E6" s="138">
        <f>IFERROR(E4-E5,"-")</f>
        <v/>
      </c>
    </row>
    <row r="7">
      <c r="A7" s="136" t="inlineStr">
        <is>
          <t>Inflação anual estimada</t>
        </is>
      </c>
      <c r="B7" s="140" t="n">
        <v>0.045</v>
      </c>
      <c r="D7" s="136" t="inlineStr">
        <is>
          <t>Patrimônio em valor de hoje (real)</t>
        </is>
      </c>
      <c r="E7" s="138">
        <f>IFERROR(E4/(1+$B$7)^$B$6,"-")</f>
        <v/>
      </c>
    </row>
    <row r="8">
      <c r="D8" s="136" t="inlineStr">
        <is>
          <t>Renda mensal estimada (4% a.a.)</t>
        </is>
      </c>
      <c r="E8" s="138">
        <f>IFERROR(E4*0.04/12,"-")</f>
        <v/>
      </c>
    </row>
    <row r="9">
      <c r="D9" s="136" t="inlineStr">
        <is>
          <t>Tempo p/ dobrar o capital (regra 72)</t>
        </is>
      </c>
      <c r="E9" s="141">
        <f>IFERROR(72/($C$11*100),"-")</f>
        <v/>
      </c>
    </row>
    <row r="10">
      <c r="A10" s="113" t="inlineStr">
        <is>
          <t>Taxas anuais dos cenários →</t>
        </is>
      </c>
      <c r="B10" s="142" t="inlineStr">
        <is>
          <t>Conservador</t>
        </is>
      </c>
      <c r="C10" s="142" t="inlineStr">
        <is>
          <t>Moderado</t>
        </is>
      </c>
      <c r="D10" s="142" t="inlineStr">
        <is>
          <t>Arrojado</t>
        </is>
      </c>
    </row>
    <row r="11">
      <c r="B11" s="140" t="n">
        <v>0.08</v>
      </c>
      <c r="C11" s="140" t="n">
        <v>0.105</v>
      </c>
      <c r="D11" s="140" t="n">
        <v>0.13</v>
      </c>
    </row>
    <row r="12" ht="24" customHeight="1">
      <c r="A12" s="143" t="inlineStr">
        <is>
          <t>Ano</t>
        </is>
      </c>
      <c r="B12" s="143" t="inlineStr">
        <is>
          <t>Total Aportado</t>
        </is>
      </c>
      <c r="C12" s="143" t="inlineStr">
        <is>
          <t>Conservador</t>
        </is>
      </c>
      <c r="D12" s="143" t="inlineStr">
        <is>
          <t>Moderado</t>
        </is>
      </c>
      <c r="E12" s="143" t="inlineStr">
        <is>
          <t>Arrojado</t>
        </is>
      </c>
      <c r="F12" s="143" t="inlineStr">
        <is>
          <t>Juros (Moderado)</t>
        </is>
      </c>
    </row>
    <row r="13">
      <c r="A13" s="69" t="n">
        <v>0</v>
      </c>
      <c r="B13" s="89">
        <f>$B$4+$B$5*12*$A13</f>
        <v/>
      </c>
      <c r="C13" s="89">
        <f>FV((1+$B$11)^(1/12)-1,$A13*12,-$B$5,-$B$4)</f>
        <v/>
      </c>
      <c r="D13" s="89">
        <f>FV((1+$C$11)^(1/12)-1,$A13*12,-$B$5,-$B$4)</f>
        <v/>
      </c>
      <c r="E13" s="89">
        <f>FV((1+$D$11)^(1/12)-1,$A13*12,-$B$5,-$B$4)</f>
        <v/>
      </c>
      <c r="F13" s="89">
        <f>D13-B13</f>
        <v/>
      </c>
    </row>
    <row r="14">
      <c r="A14" s="69" t="n">
        <v>1</v>
      </c>
      <c r="B14" s="89">
        <f>$B$4+$B$5*12*$A14</f>
        <v/>
      </c>
      <c r="C14" s="89">
        <f>FV((1+$B$11)^(1/12)-1,$A14*12,-$B$5,-$B$4)</f>
        <v/>
      </c>
      <c r="D14" s="89">
        <f>FV((1+$C$11)^(1/12)-1,$A14*12,-$B$5,-$B$4)</f>
        <v/>
      </c>
      <c r="E14" s="89">
        <f>FV((1+$D$11)^(1/12)-1,$A14*12,-$B$5,-$B$4)</f>
        <v/>
      </c>
      <c r="F14" s="89">
        <f>D14-B14</f>
        <v/>
      </c>
    </row>
    <row r="15">
      <c r="A15" s="69" t="n">
        <v>2</v>
      </c>
      <c r="B15" s="89">
        <f>$B$4+$B$5*12*$A15</f>
        <v/>
      </c>
      <c r="C15" s="89">
        <f>FV((1+$B$11)^(1/12)-1,$A15*12,-$B$5,-$B$4)</f>
        <v/>
      </c>
      <c r="D15" s="89">
        <f>FV((1+$C$11)^(1/12)-1,$A15*12,-$B$5,-$B$4)</f>
        <v/>
      </c>
      <c r="E15" s="89">
        <f>FV((1+$D$11)^(1/12)-1,$A15*12,-$B$5,-$B$4)</f>
        <v/>
      </c>
      <c r="F15" s="89">
        <f>D15-B15</f>
        <v/>
      </c>
    </row>
    <row r="16">
      <c r="A16" s="69" t="n">
        <v>3</v>
      </c>
      <c r="B16" s="89">
        <f>$B$4+$B$5*12*$A16</f>
        <v/>
      </c>
      <c r="C16" s="89">
        <f>FV((1+$B$11)^(1/12)-1,$A16*12,-$B$5,-$B$4)</f>
        <v/>
      </c>
      <c r="D16" s="89">
        <f>FV((1+$C$11)^(1/12)-1,$A16*12,-$B$5,-$B$4)</f>
        <v/>
      </c>
      <c r="E16" s="89">
        <f>FV((1+$D$11)^(1/12)-1,$A16*12,-$B$5,-$B$4)</f>
        <v/>
      </c>
      <c r="F16" s="89">
        <f>D16-B16</f>
        <v/>
      </c>
    </row>
    <row r="17">
      <c r="A17" s="69" t="n">
        <v>4</v>
      </c>
      <c r="B17" s="89">
        <f>$B$4+$B$5*12*$A17</f>
        <v/>
      </c>
      <c r="C17" s="89">
        <f>FV((1+$B$11)^(1/12)-1,$A17*12,-$B$5,-$B$4)</f>
        <v/>
      </c>
      <c r="D17" s="89">
        <f>FV((1+$C$11)^(1/12)-1,$A17*12,-$B$5,-$B$4)</f>
        <v/>
      </c>
      <c r="E17" s="89">
        <f>FV((1+$D$11)^(1/12)-1,$A17*12,-$B$5,-$B$4)</f>
        <v/>
      </c>
      <c r="F17" s="89">
        <f>D17-B17</f>
        <v/>
      </c>
    </row>
    <row r="18">
      <c r="A18" s="69" t="n">
        <v>5</v>
      </c>
      <c r="B18" s="89">
        <f>$B$4+$B$5*12*$A18</f>
        <v/>
      </c>
      <c r="C18" s="89">
        <f>FV((1+$B$11)^(1/12)-1,$A18*12,-$B$5,-$B$4)</f>
        <v/>
      </c>
      <c r="D18" s="89">
        <f>FV((1+$C$11)^(1/12)-1,$A18*12,-$B$5,-$B$4)</f>
        <v/>
      </c>
      <c r="E18" s="89">
        <f>FV((1+$D$11)^(1/12)-1,$A18*12,-$B$5,-$B$4)</f>
        <v/>
      </c>
      <c r="F18" s="89">
        <f>D18-B18</f>
        <v/>
      </c>
    </row>
    <row r="19">
      <c r="A19" s="69" t="n">
        <v>6</v>
      </c>
      <c r="B19" s="89">
        <f>$B$4+$B$5*12*$A19</f>
        <v/>
      </c>
      <c r="C19" s="89">
        <f>FV((1+$B$11)^(1/12)-1,$A19*12,-$B$5,-$B$4)</f>
        <v/>
      </c>
      <c r="D19" s="89">
        <f>FV((1+$C$11)^(1/12)-1,$A19*12,-$B$5,-$B$4)</f>
        <v/>
      </c>
      <c r="E19" s="89">
        <f>FV((1+$D$11)^(1/12)-1,$A19*12,-$B$5,-$B$4)</f>
        <v/>
      </c>
      <c r="F19" s="89">
        <f>D19-B19</f>
        <v/>
      </c>
    </row>
    <row r="20">
      <c r="A20" s="69" t="n">
        <v>7</v>
      </c>
      <c r="B20" s="89">
        <f>$B$4+$B$5*12*$A20</f>
        <v/>
      </c>
      <c r="C20" s="89">
        <f>FV((1+$B$11)^(1/12)-1,$A20*12,-$B$5,-$B$4)</f>
        <v/>
      </c>
      <c r="D20" s="89">
        <f>FV((1+$C$11)^(1/12)-1,$A20*12,-$B$5,-$B$4)</f>
        <v/>
      </c>
      <c r="E20" s="89">
        <f>FV((1+$D$11)^(1/12)-1,$A20*12,-$B$5,-$B$4)</f>
        <v/>
      </c>
      <c r="F20" s="89">
        <f>D20-B20</f>
        <v/>
      </c>
    </row>
    <row r="21">
      <c r="A21" s="69" t="n">
        <v>8</v>
      </c>
      <c r="B21" s="89">
        <f>$B$4+$B$5*12*$A21</f>
        <v/>
      </c>
      <c r="C21" s="89">
        <f>FV((1+$B$11)^(1/12)-1,$A21*12,-$B$5,-$B$4)</f>
        <v/>
      </c>
      <c r="D21" s="89">
        <f>FV((1+$C$11)^(1/12)-1,$A21*12,-$B$5,-$B$4)</f>
        <v/>
      </c>
      <c r="E21" s="89">
        <f>FV((1+$D$11)^(1/12)-1,$A21*12,-$B$5,-$B$4)</f>
        <v/>
      </c>
      <c r="F21" s="89">
        <f>D21-B21</f>
        <v/>
      </c>
    </row>
    <row r="22">
      <c r="A22" s="69" t="n">
        <v>9</v>
      </c>
      <c r="B22" s="89">
        <f>$B$4+$B$5*12*$A22</f>
        <v/>
      </c>
      <c r="C22" s="89">
        <f>FV((1+$B$11)^(1/12)-1,$A22*12,-$B$5,-$B$4)</f>
        <v/>
      </c>
      <c r="D22" s="89">
        <f>FV((1+$C$11)^(1/12)-1,$A22*12,-$B$5,-$B$4)</f>
        <v/>
      </c>
      <c r="E22" s="89">
        <f>FV((1+$D$11)^(1/12)-1,$A22*12,-$B$5,-$B$4)</f>
        <v/>
      </c>
      <c r="F22" s="89">
        <f>D22-B22</f>
        <v/>
      </c>
    </row>
    <row r="23">
      <c r="A23" s="69" t="n">
        <v>10</v>
      </c>
      <c r="B23" s="89">
        <f>$B$4+$B$5*12*$A23</f>
        <v/>
      </c>
      <c r="C23" s="89">
        <f>FV((1+$B$11)^(1/12)-1,$A23*12,-$B$5,-$B$4)</f>
        <v/>
      </c>
      <c r="D23" s="89">
        <f>FV((1+$C$11)^(1/12)-1,$A23*12,-$B$5,-$B$4)</f>
        <v/>
      </c>
      <c r="E23" s="89">
        <f>FV((1+$D$11)^(1/12)-1,$A23*12,-$B$5,-$B$4)</f>
        <v/>
      </c>
      <c r="F23" s="89">
        <f>D23-B23</f>
        <v/>
      </c>
    </row>
    <row r="24">
      <c r="A24" s="69" t="n">
        <v>11</v>
      </c>
      <c r="B24" s="89">
        <f>$B$4+$B$5*12*$A24</f>
        <v/>
      </c>
      <c r="C24" s="89">
        <f>FV((1+$B$11)^(1/12)-1,$A24*12,-$B$5,-$B$4)</f>
        <v/>
      </c>
      <c r="D24" s="89">
        <f>FV((1+$C$11)^(1/12)-1,$A24*12,-$B$5,-$B$4)</f>
        <v/>
      </c>
      <c r="E24" s="89">
        <f>FV((1+$D$11)^(1/12)-1,$A24*12,-$B$5,-$B$4)</f>
        <v/>
      </c>
      <c r="F24" s="89">
        <f>D24-B24</f>
        <v/>
      </c>
    </row>
    <row r="25">
      <c r="A25" s="69" t="n">
        <v>12</v>
      </c>
      <c r="B25" s="89">
        <f>$B$4+$B$5*12*$A25</f>
        <v/>
      </c>
      <c r="C25" s="89">
        <f>FV((1+$B$11)^(1/12)-1,$A25*12,-$B$5,-$B$4)</f>
        <v/>
      </c>
      <c r="D25" s="89">
        <f>FV((1+$C$11)^(1/12)-1,$A25*12,-$B$5,-$B$4)</f>
        <v/>
      </c>
      <c r="E25" s="89">
        <f>FV((1+$D$11)^(1/12)-1,$A25*12,-$B$5,-$B$4)</f>
        <v/>
      </c>
      <c r="F25" s="89">
        <f>D25-B25</f>
        <v/>
      </c>
    </row>
    <row r="26">
      <c r="A26" s="69" t="n">
        <v>13</v>
      </c>
      <c r="B26" s="89">
        <f>$B$4+$B$5*12*$A26</f>
        <v/>
      </c>
      <c r="C26" s="89">
        <f>FV((1+$B$11)^(1/12)-1,$A26*12,-$B$5,-$B$4)</f>
        <v/>
      </c>
      <c r="D26" s="89">
        <f>FV((1+$C$11)^(1/12)-1,$A26*12,-$B$5,-$B$4)</f>
        <v/>
      </c>
      <c r="E26" s="89">
        <f>FV((1+$D$11)^(1/12)-1,$A26*12,-$B$5,-$B$4)</f>
        <v/>
      </c>
      <c r="F26" s="89">
        <f>D26-B26</f>
        <v/>
      </c>
    </row>
    <row r="27">
      <c r="A27" s="69" t="n">
        <v>14</v>
      </c>
      <c r="B27" s="89">
        <f>$B$4+$B$5*12*$A27</f>
        <v/>
      </c>
      <c r="C27" s="89">
        <f>FV((1+$B$11)^(1/12)-1,$A27*12,-$B$5,-$B$4)</f>
        <v/>
      </c>
      <c r="D27" s="89">
        <f>FV((1+$C$11)^(1/12)-1,$A27*12,-$B$5,-$B$4)</f>
        <v/>
      </c>
      <c r="E27" s="89">
        <f>FV((1+$D$11)^(1/12)-1,$A27*12,-$B$5,-$B$4)</f>
        <v/>
      </c>
      <c r="F27" s="89">
        <f>D27-B27</f>
        <v/>
      </c>
    </row>
    <row r="28">
      <c r="A28" s="69" t="n">
        <v>15</v>
      </c>
      <c r="B28" s="89">
        <f>$B$4+$B$5*12*$A28</f>
        <v/>
      </c>
      <c r="C28" s="89">
        <f>FV((1+$B$11)^(1/12)-1,$A28*12,-$B$5,-$B$4)</f>
        <v/>
      </c>
      <c r="D28" s="89">
        <f>FV((1+$C$11)^(1/12)-1,$A28*12,-$B$5,-$B$4)</f>
        <v/>
      </c>
      <c r="E28" s="89">
        <f>FV((1+$D$11)^(1/12)-1,$A28*12,-$B$5,-$B$4)</f>
        <v/>
      </c>
      <c r="F28" s="89">
        <f>D28-B28</f>
        <v/>
      </c>
    </row>
    <row r="29">
      <c r="A29" s="69" t="n">
        <v>16</v>
      </c>
      <c r="B29" s="89">
        <f>$B$4+$B$5*12*$A29</f>
        <v/>
      </c>
      <c r="C29" s="89">
        <f>FV((1+$B$11)^(1/12)-1,$A29*12,-$B$5,-$B$4)</f>
        <v/>
      </c>
      <c r="D29" s="89">
        <f>FV((1+$C$11)^(1/12)-1,$A29*12,-$B$5,-$B$4)</f>
        <v/>
      </c>
      <c r="E29" s="89">
        <f>FV((1+$D$11)^(1/12)-1,$A29*12,-$B$5,-$B$4)</f>
        <v/>
      </c>
      <c r="F29" s="89">
        <f>D29-B29</f>
        <v/>
      </c>
    </row>
    <row r="30">
      <c r="A30" s="69" t="n">
        <v>17</v>
      </c>
      <c r="B30" s="89">
        <f>$B$4+$B$5*12*$A30</f>
        <v/>
      </c>
      <c r="C30" s="89">
        <f>FV((1+$B$11)^(1/12)-1,$A30*12,-$B$5,-$B$4)</f>
        <v/>
      </c>
      <c r="D30" s="89">
        <f>FV((1+$C$11)^(1/12)-1,$A30*12,-$B$5,-$B$4)</f>
        <v/>
      </c>
      <c r="E30" s="89">
        <f>FV((1+$D$11)^(1/12)-1,$A30*12,-$B$5,-$B$4)</f>
        <v/>
      </c>
      <c r="F30" s="89">
        <f>D30-B30</f>
        <v/>
      </c>
    </row>
    <row r="31">
      <c r="A31" s="69" t="n">
        <v>18</v>
      </c>
      <c r="B31" s="89">
        <f>$B$4+$B$5*12*$A31</f>
        <v/>
      </c>
      <c r="C31" s="89">
        <f>FV((1+$B$11)^(1/12)-1,$A31*12,-$B$5,-$B$4)</f>
        <v/>
      </c>
      <c r="D31" s="89">
        <f>FV((1+$C$11)^(1/12)-1,$A31*12,-$B$5,-$B$4)</f>
        <v/>
      </c>
      <c r="E31" s="89">
        <f>FV((1+$D$11)^(1/12)-1,$A31*12,-$B$5,-$B$4)</f>
        <v/>
      </c>
      <c r="F31" s="89">
        <f>D31-B31</f>
        <v/>
      </c>
    </row>
    <row r="32">
      <c r="A32" s="69" t="n">
        <v>19</v>
      </c>
      <c r="B32" s="89">
        <f>$B$4+$B$5*12*$A32</f>
        <v/>
      </c>
      <c r="C32" s="89">
        <f>FV((1+$B$11)^(1/12)-1,$A32*12,-$B$5,-$B$4)</f>
        <v/>
      </c>
      <c r="D32" s="89">
        <f>FV((1+$C$11)^(1/12)-1,$A32*12,-$B$5,-$B$4)</f>
        <v/>
      </c>
      <c r="E32" s="89">
        <f>FV((1+$D$11)^(1/12)-1,$A32*12,-$B$5,-$B$4)</f>
        <v/>
      </c>
      <c r="F32" s="89">
        <f>D32-B32</f>
        <v/>
      </c>
    </row>
    <row r="33">
      <c r="A33" s="69" t="n">
        <v>20</v>
      </c>
      <c r="B33" s="89">
        <f>$B$4+$B$5*12*$A33</f>
        <v/>
      </c>
      <c r="C33" s="89">
        <f>FV((1+$B$11)^(1/12)-1,$A33*12,-$B$5,-$B$4)</f>
        <v/>
      </c>
      <c r="D33" s="89">
        <f>FV((1+$C$11)^(1/12)-1,$A33*12,-$B$5,-$B$4)</f>
        <v/>
      </c>
      <c r="E33" s="89">
        <f>FV((1+$D$11)^(1/12)-1,$A33*12,-$B$5,-$B$4)</f>
        <v/>
      </c>
      <c r="F33" s="89">
        <f>D33-B33</f>
        <v/>
      </c>
    </row>
    <row r="34">
      <c r="A34" s="69" t="n">
        <v>21</v>
      </c>
      <c r="B34" s="89">
        <f>$B$4+$B$5*12*$A34</f>
        <v/>
      </c>
      <c r="C34" s="89">
        <f>FV((1+$B$11)^(1/12)-1,$A34*12,-$B$5,-$B$4)</f>
        <v/>
      </c>
      <c r="D34" s="89">
        <f>FV((1+$C$11)^(1/12)-1,$A34*12,-$B$5,-$B$4)</f>
        <v/>
      </c>
      <c r="E34" s="89">
        <f>FV((1+$D$11)^(1/12)-1,$A34*12,-$B$5,-$B$4)</f>
        <v/>
      </c>
      <c r="F34" s="89">
        <f>D34-B34</f>
        <v/>
      </c>
    </row>
    <row r="35">
      <c r="A35" s="69" t="n">
        <v>22</v>
      </c>
      <c r="B35" s="89">
        <f>$B$4+$B$5*12*$A35</f>
        <v/>
      </c>
      <c r="C35" s="89">
        <f>FV((1+$B$11)^(1/12)-1,$A35*12,-$B$5,-$B$4)</f>
        <v/>
      </c>
      <c r="D35" s="89">
        <f>FV((1+$C$11)^(1/12)-1,$A35*12,-$B$5,-$B$4)</f>
        <v/>
      </c>
      <c r="E35" s="89">
        <f>FV((1+$D$11)^(1/12)-1,$A35*12,-$B$5,-$B$4)</f>
        <v/>
      </c>
      <c r="F35" s="89">
        <f>D35-B35</f>
        <v/>
      </c>
    </row>
    <row r="36">
      <c r="A36" s="69" t="n">
        <v>23</v>
      </c>
      <c r="B36" s="89">
        <f>$B$4+$B$5*12*$A36</f>
        <v/>
      </c>
      <c r="C36" s="89">
        <f>FV((1+$B$11)^(1/12)-1,$A36*12,-$B$5,-$B$4)</f>
        <v/>
      </c>
      <c r="D36" s="89">
        <f>FV((1+$C$11)^(1/12)-1,$A36*12,-$B$5,-$B$4)</f>
        <v/>
      </c>
      <c r="E36" s="89">
        <f>FV((1+$D$11)^(1/12)-1,$A36*12,-$B$5,-$B$4)</f>
        <v/>
      </c>
      <c r="F36" s="89">
        <f>D36-B36</f>
        <v/>
      </c>
    </row>
    <row r="37">
      <c r="A37" s="69" t="n">
        <v>24</v>
      </c>
      <c r="B37" s="89">
        <f>$B$4+$B$5*12*$A37</f>
        <v/>
      </c>
      <c r="C37" s="89">
        <f>FV((1+$B$11)^(1/12)-1,$A37*12,-$B$5,-$B$4)</f>
        <v/>
      </c>
      <c r="D37" s="89">
        <f>FV((1+$C$11)^(1/12)-1,$A37*12,-$B$5,-$B$4)</f>
        <v/>
      </c>
      <c r="E37" s="89">
        <f>FV((1+$D$11)^(1/12)-1,$A37*12,-$B$5,-$B$4)</f>
        <v/>
      </c>
      <c r="F37" s="89">
        <f>D37-B37</f>
        <v/>
      </c>
    </row>
    <row r="38">
      <c r="A38" s="69" t="n">
        <v>25</v>
      </c>
      <c r="B38" s="89">
        <f>$B$4+$B$5*12*$A38</f>
        <v/>
      </c>
      <c r="C38" s="89">
        <f>FV((1+$B$11)^(1/12)-1,$A38*12,-$B$5,-$B$4)</f>
        <v/>
      </c>
      <c r="D38" s="89">
        <f>FV((1+$C$11)^(1/12)-1,$A38*12,-$B$5,-$B$4)</f>
        <v/>
      </c>
      <c r="E38" s="89">
        <f>FV((1+$D$11)^(1/12)-1,$A38*12,-$B$5,-$B$4)</f>
        <v/>
      </c>
      <c r="F38" s="89">
        <f>D38-B38</f>
        <v/>
      </c>
    </row>
    <row r="39">
      <c r="A39" s="69" t="n">
        <v>26</v>
      </c>
      <c r="B39" s="89">
        <f>$B$4+$B$5*12*$A39</f>
        <v/>
      </c>
      <c r="C39" s="89">
        <f>FV((1+$B$11)^(1/12)-1,$A39*12,-$B$5,-$B$4)</f>
        <v/>
      </c>
      <c r="D39" s="89">
        <f>FV((1+$C$11)^(1/12)-1,$A39*12,-$B$5,-$B$4)</f>
        <v/>
      </c>
      <c r="E39" s="89">
        <f>FV((1+$D$11)^(1/12)-1,$A39*12,-$B$5,-$B$4)</f>
        <v/>
      </c>
      <c r="F39" s="89">
        <f>D39-B39</f>
        <v/>
      </c>
    </row>
    <row r="40">
      <c r="A40" s="69" t="n">
        <v>27</v>
      </c>
      <c r="B40" s="89">
        <f>$B$4+$B$5*12*$A40</f>
        <v/>
      </c>
      <c r="C40" s="89">
        <f>FV((1+$B$11)^(1/12)-1,$A40*12,-$B$5,-$B$4)</f>
        <v/>
      </c>
      <c r="D40" s="89">
        <f>FV((1+$C$11)^(1/12)-1,$A40*12,-$B$5,-$B$4)</f>
        <v/>
      </c>
      <c r="E40" s="89">
        <f>FV((1+$D$11)^(1/12)-1,$A40*12,-$B$5,-$B$4)</f>
        <v/>
      </c>
      <c r="F40" s="89">
        <f>D40-B40</f>
        <v/>
      </c>
    </row>
    <row r="41">
      <c r="A41" s="69" t="n">
        <v>28</v>
      </c>
      <c r="B41" s="89">
        <f>$B$4+$B$5*12*$A41</f>
        <v/>
      </c>
      <c r="C41" s="89">
        <f>FV((1+$B$11)^(1/12)-1,$A41*12,-$B$5,-$B$4)</f>
        <v/>
      </c>
      <c r="D41" s="89">
        <f>FV((1+$C$11)^(1/12)-1,$A41*12,-$B$5,-$B$4)</f>
        <v/>
      </c>
      <c r="E41" s="89">
        <f>FV((1+$D$11)^(1/12)-1,$A41*12,-$B$5,-$B$4)</f>
        <v/>
      </c>
      <c r="F41" s="89">
        <f>D41-B41</f>
        <v/>
      </c>
    </row>
    <row r="42">
      <c r="A42" s="69" t="n">
        <v>29</v>
      </c>
      <c r="B42" s="89">
        <f>$B$4+$B$5*12*$A42</f>
        <v/>
      </c>
      <c r="C42" s="89">
        <f>FV((1+$B$11)^(1/12)-1,$A42*12,-$B$5,-$B$4)</f>
        <v/>
      </c>
      <c r="D42" s="89">
        <f>FV((1+$C$11)^(1/12)-1,$A42*12,-$B$5,-$B$4)</f>
        <v/>
      </c>
      <c r="E42" s="89">
        <f>FV((1+$D$11)^(1/12)-1,$A42*12,-$B$5,-$B$4)</f>
        <v/>
      </c>
      <c r="F42" s="89">
        <f>D42-B42</f>
        <v/>
      </c>
    </row>
    <row r="43">
      <c r="A43" s="69" t="n">
        <v>30</v>
      </c>
      <c r="B43" s="89">
        <f>$B$4+$B$5*12*$A43</f>
        <v/>
      </c>
      <c r="C43" s="89">
        <f>FV((1+$B$11)^(1/12)-1,$A43*12,-$B$5,-$B$4)</f>
        <v/>
      </c>
      <c r="D43" s="89">
        <f>FV((1+$C$11)^(1/12)-1,$A43*12,-$B$5,-$B$4)</f>
        <v/>
      </c>
      <c r="E43" s="89">
        <f>FV((1+$D$11)^(1/12)-1,$A43*12,-$B$5,-$B$4)</f>
        <v/>
      </c>
      <c r="F43" s="89">
        <f>D43-B43</f>
        <v/>
      </c>
    </row>
  </sheetData>
  <mergeCells count="3">
    <mergeCell ref="A3:B3"/>
    <mergeCell ref="D3:I3"/>
    <mergeCell ref="A1:H1"/>
  </mergeCells>
  <hyperlinks>
    <hyperlink ref="I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B7791F"/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9" customWidth="1" min="4" max="4"/>
    <col width="15" customWidth="1" min="5" max="5"/>
    <col width="12" customWidth="1" min="6" max="6"/>
  </cols>
  <sheetData>
    <row r="1" ht="34" customHeight="1">
      <c r="A1" s="144" t="inlineStr">
        <is>
          <t>🔥  INDEPENDÊNCIA FINANCEIRA (FIRE)</t>
        </is>
      </c>
      <c r="I1" s="145" t="inlineStr">
        <is>
          <t>🏠 Início</t>
        </is>
      </c>
    </row>
    <row r="3" ht="22" customHeight="1">
      <c r="A3" s="146" t="inlineStr">
        <is>
          <t>SEUS DADOS (edite as células amarelas)</t>
        </is>
      </c>
    </row>
    <row r="4">
      <c r="A4" s="136" t="inlineStr">
        <is>
          <t>Custo de vida mensal (R$)</t>
        </is>
      </c>
      <c r="B4" s="137" t="n">
        <v>6000</v>
      </c>
    </row>
    <row r="5">
      <c r="A5" s="136" t="inlineStr">
        <is>
          <t>Taxa de retirada segura anual</t>
        </is>
      </c>
      <c r="B5" s="140" t="n">
        <v>0.04</v>
      </c>
    </row>
    <row r="6">
      <c r="A6" s="136" t="inlineStr">
        <is>
          <t>Patrimônio investido hoje (R$)</t>
        </is>
      </c>
      <c r="B6" s="137" t="n">
        <v>85000</v>
      </c>
    </row>
    <row r="7">
      <c r="A7" s="136" t="inlineStr">
        <is>
          <t>Aporte mensal (R$)</t>
        </is>
      </c>
      <c r="B7" s="137" t="n">
        <v>1500</v>
      </c>
    </row>
    <row r="8">
      <c r="A8" s="136" t="inlineStr">
        <is>
          <t>Retorno real anual esperado</t>
        </is>
      </c>
      <c r="B8" s="140" t="n">
        <v>0.07000000000000001</v>
      </c>
    </row>
    <row r="9">
      <c r="A9" s="136" t="inlineStr">
        <is>
          <t>Idade atual</t>
        </is>
      </c>
      <c r="B9" s="139" t="n">
        <v>30</v>
      </c>
    </row>
    <row r="10">
      <c r="A10" s="136" t="inlineStr">
        <is>
          <t>Idade-alvo de aposentadoria</t>
        </is>
      </c>
      <c r="B10" s="139" t="n">
        <v>60</v>
      </c>
    </row>
    <row r="12" ht="22" customHeight="1">
      <c r="A12" s="146" t="inlineStr">
        <is>
          <t>RESULTADOS</t>
        </is>
      </c>
      <c r="D12" s="146" t="inlineStr">
        <is>
          <t>MARCOS DA JORNADA</t>
        </is>
      </c>
    </row>
    <row r="13">
      <c r="A13" s="113" t="inlineStr">
        <is>
          <t>Número FIRE (patrimônio-alvo)</t>
        </is>
      </c>
      <c r="B13" s="147">
        <f>B4*12/B5</f>
        <v/>
      </c>
      <c r="D13" s="136" t="inlineStr">
        <is>
          <t>25% do caminho</t>
        </is>
      </c>
      <c r="E13" s="148">
        <f>$B$13*0.25</f>
        <v/>
      </c>
      <c r="F13">
        <f>IF($B$6&gt;=E13,"✔ Atingido","Em progresso")</f>
        <v/>
      </c>
    </row>
    <row r="14">
      <c r="A14" s="113" t="inlineStr">
        <is>
          <t>Renda passiva mensal hoje</t>
        </is>
      </c>
      <c r="B14" s="147">
        <f>B6*B5/12</f>
        <v/>
      </c>
      <c r="D14" s="136" t="inlineStr">
        <is>
          <t>50% do caminho</t>
        </is>
      </c>
      <c r="E14" s="148">
        <f>$B$13*0.5</f>
        <v/>
      </c>
      <c r="F14">
        <f>IF($B$6&gt;=E14,"✔ Atingido","Em progresso")</f>
        <v/>
      </c>
    </row>
    <row r="15">
      <c r="A15" s="113" t="inlineStr">
        <is>
          <t>Progresso até a independência</t>
        </is>
      </c>
      <c r="B15" s="149">
        <f>MIN(1,B6/B13)</f>
        <v/>
      </c>
      <c r="D15" s="136" t="inlineStr">
        <is>
          <t>75% do caminho</t>
        </is>
      </c>
      <c r="E15" s="148">
        <f>$B$13*0.75</f>
        <v/>
      </c>
      <c r="F15">
        <f>IF($B$6&gt;=E15,"✔ Atingido","Em progresso")</f>
        <v/>
      </c>
    </row>
    <row r="16">
      <c r="A16" s="113" t="inlineStr">
        <is>
          <t>Anos até a independência</t>
        </is>
      </c>
      <c r="B16" s="150">
        <f>IF(B6&gt;=B13,0,IFERROR(NPER((1+B8)^(1/12)-1,-B7,-B6,B13)/12,"-"))</f>
        <v/>
      </c>
      <c r="D16" s="136" t="inlineStr">
        <is>
          <t>INDEPENDÊNCIA TOTAL</t>
        </is>
      </c>
      <c r="E16" s="148">
        <f>$B$13*1.0</f>
        <v/>
      </c>
      <c r="F16">
        <f>IF($B$6&gt;=E16,"✔ Atingido","Em progresso")</f>
        <v/>
      </c>
    </row>
    <row r="17">
      <c r="A17" s="113" t="inlineStr">
        <is>
          <t>Sua idade na independência</t>
        </is>
      </c>
      <c r="B17" s="150">
        <f>IFERROR(B9+B16,"-")</f>
        <v/>
      </c>
    </row>
    <row r="18">
      <c r="A18" s="113" t="inlineStr">
        <is>
          <t>Lean FIRE (custo -30%)</t>
        </is>
      </c>
      <c r="B18" s="147">
        <f>B4*0.7*12/B5</f>
        <v/>
      </c>
    </row>
    <row r="19">
      <c r="A19" s="113" t="inlineStr">
        <is>
          <t>Fat FIRE (custo +50%)</t>
        </is>
      </c>
      <c r="B19" s="147">
        <f>B4*1.5*12/B5</f>
        <v/>
      </c>
    </row>
    <row r="20">
      <c r="A20" s="113" t="inlineStr">
        <is>
          <t>Coast FIRE (precisa ter hoje)</t>
        </is>
      </c>
      <c r="B20" s="147">
        <f>IFERROR(B13/(1+B8)^MAX(0,B10-B9),B13)</f>
        <v/>
      </c>
    </row>
    <row r="21">
      <c r="A21" s="113" t="inlineStr">
        <is>
          <t>Você já é Coast FIRE?</t>
        </is>
      </c>
      <c r="B21" s="151">
        <f>IF(B6&gt;=B20,"✔ SIM","Ainda não")</f>
        <v/>
      </c>
    </row>
    <row r="22">
      <c r="A22" s="113" t="inlineStr">
        <is>
          <t>Reserva de emergência (6× custo)</t>
        </is>
      </c>
      <c r="B22" s="147">
        <f>B4*6</f>
        <v/>
      </c>
    </row>
    <row r="24" ht="26" customHeight="1">
      <c r="A24" s="152" t="inlineStr">
        <is>
          <t>Ano</t>
        </is>
      </c>
      <c r="B24" s="152" t="inlineStr">
        <is>
          <t>Idade</t>
        </is>
      </c>
      <c r="C24" s="152" t="inlineStr">
        <is>
          <t>Patrimônio Projetado</t>
        </is>
      </c>
      <c r="D24" s="152" t="inlineStr">
        <is>
          <t>Renda Passiva Mensal</t>
        </is>
      </c>
      <c r="E24" s="152" t="inlineStr">
        <is>
          <t>Meta FIRE</t>
        </is>
      </c>
      <c r="F24" s="152" t="inlineStr">
        <is>
          <t>Status</t>
        </is>
      </c>
    </row>
    <row r="25">
      <c r="A25" s="69" t="n">
        <v>0</v>
      </c>
      <c r="B25" s="69">
        <f>$B$9+A25</f>
        <v/>
      </c>
      <c r="C25" s="89">
        <f>FV((1+$B$8)^(1/12)-1,A25*12,-$B$7,-$B$6)</f>
        <v/>
      </c>
      <c r="D25" s="89">
        <f>C25*$B$5/12</f>
        <v/>
      </c>
      <c r="E25" s="89">
        <f>$B$13</f>
        <v/>
      </c>
      <c r="F25" s="69">
        <f>IF(C25&gt;=$B$13,"🏆 LIVRE","—")</f>
        <v/>
      </c>
    </row>
    <row r="26">
      <c r="A26" s="69" t="n">
        <v>1</v>
      </c>
      <c r="B26" s="69">
        <f>$B$9+A26</f>
        <v/>
      </c>
      <c r="C26" s="89">
        <f>FV((1+$B$8)^(1/12)-1,A26*12,-$B$7,-$B$6)</f>
        <v/>
      </c>
      <c r="D26" s="89">
        <f>C26*$B$5/12</f>
        <v/>
      </c>
      <c r="E26" s="89">
        <f>$B$13</f>
        <v/>
      </c>
      <c r="F26" s="69">
        <f>IF(C26&gt;=$B$13,"🏆 LIVRE","—")</f>
        <v/>
      </c>
    </row>
    <row r="27">
      <c r="A27" s="69" t="n">
        <v>2</v>
      </c>
      <c r="B27" s="69">
        <f>$B$9+A27</f>
        <v/>
      </c>
      <c r="C27" s="89">
        <f>FV((1+$B$8)^(1/12)-1,A27*12,-$B$7,-$B$6)</f>
        <v/>
      </c>
      <c r="D27" s="89">
        <f>C27*$B$5/12</f>
        <v/>
      </c>
      <c r="E27" s="89">
        <f>$B$13</f>
        <v/>
      </c>
      <c r="F27" s="69">
        <f>IF(C27&gt;=$B$13,"🏆 LIVRE","—")</f>
        <v/>
      </c>
    </row>
    <row r="28">
      <c r="A28" s="69" t="n">
        <v>3</v>
      </c>
      <c r="B28" s="69">
        <f>$B$9+A28</f>
        <v/>
      </c>
      <c r="C28" s="89">
        <f>FV((1+$B$8)^(1/12)-1,A28*12,-$B$7,-$B$6)</f>
        <v/>
      </c>
      <c r="D28" s="89">
        <f>C28*$B$5/12</f>
        <v/>
      </c>
      <c r="E28" s="89">
        <f>$B$13</f>
        <v/>
      </c>
      <c r="F28" s="69">
        <f>IF(C28&gt;=$B$13,"🏆 LIVRE","—")</f>
        <v/>
      </c>
    </row>
    <row r="29">
      <c r="A29" s="69" t="n">
        <v>4</v>
      </c>
      <c r="B29" s="69">
        <f>$B$9+A29</f>
        <v/>
      </c>
      <c r="C29" s="89">
        <f>FV((1+$B$8)^(1/12)-1,A29*12,-$B$7,-$B$6)</f>
        <v/>
      </c>
      <c r="D29" s="89">
        <f>C29*$B$5/12</f>
        <v/>
      </c>
      <c r="E29" s="89">
        <f>$B$13</f>
        <v/>
      </c>
      <c r="F29" s="69">
        <f>IF(C29&gt;=$B$13,"🏆 LIVRE","—")</f>
        <v/>
      </c>
    </row>
    <row r="30">
      <c r="A30" s="69" t="n">
        <v>5</v>
      </c>
      <c r="B30" s="69">
        <f>$B$9+A30</f>
        <v/>
      </c>
      <c r="C30" s="89">
        <f>FV((1+$B$8)^(1/12)-1,A30*12,-$B$7,-$B$6)</f>
        <v/>
      </c>
      <c r="D30" s="89">
        <f>C30*$B$5/12</f>
        <v/>
      </c>
      <c r="E30" s="89">
        <f>$B$13</f>
        <v/>
      </c>
      <c r="F30" s="69">
        <f>IF(C30&gt;=$B$13,"🏆 LIVRE","—")</f>
        <v/>
      </c>
    </row>
    <row r="31">
      <c r="A31" s="69" t="n">
        <v>6</v>
      </c>
      <c r="B31" s="69">
        <f>$B$9+A31</f>
        <v/>
      </c>
      <c r="C31" s="89">
        <f>FV((1+$B$8)^(1/12)-1,A31*12,-$B$7,-$B$6)</f>
        <v/>
      </c>
      <c r="D31" s="89">
        <f>C31*$B$5/12</f>
        <v/>
      </c>
      <c r="E31" s="89">
        <f>$B$13</f>
        <v/>
      </c>
      <c r="F31" s="69">
        <f>IF(C31&gt;=$B$13,"🏆 LIVRE","—")</f>
        <v/>
      </c>
    </row>
    <row r="32">
      <c r="A32" s="69" t="n">
        <v>7</v>
      </c>
      <c r="B32" s="69">
        <f>$B$9+A32</f>
        <v/>
      </c>
      <c r="C32" s="89">
        <f>FV((1+$B$8)^(1/12)-1,A32*12,-$B$7,-$B$6)</f>
        <v/>
      </c>
      <c r="D32" s="89">
        <f>C32*$B$5/12</f>
        <v/>
      </c>
      <c r="E32" s="89">
        <f>$B$13</f>
        <v/>
      </c>
      <c r="F32" s="69">
        <f>IF(C32&gt;=$B$13,"🏆 LIVRE","—")</f>
        <v/>
      </c>
    </row>
    <row r="33">
      <c r="A33" s="69" t="n">
        <v>8</v>
      </c>
      <c r="B33" s="69">
        <f>$B$9+A33</f>
        <v/>
      </c>
      <c r="C33" s="89">
        <f>FV((1+$B$8)^(1/12)-1,A33*12,-$B$7,-$B$6)</f>
        <v/>
      </c>
      <c r="D33" s="89">
        <f>C33*$B$5/12</f>
        <v/>
      </c>
      <c r="E33" s="89">
        <f>$B$13</f>
        <v/>
      </c>
      <c r="F33" s="69">
        <f>IF(C33&gt;=$B$13,"🏆 LIVRE","—")</f>
        <v/>
      </c>
    </row>
    <row r="34">
      <c r="A34" s="69" t="n">
        <v>9</v>
      </c>
      <c r="B34" s="69">
        <f>$B$9+A34</f>
        <v/>
      </c>
      <c r="C34" s="89">
        <f>FV((1+$B$8)^(1/12)-1,A34*12,-$B$7,-$B$6)</f>
        <v/>
      </c>
      <c r="D34" s="89">
        <f>C34*$B$5/12</f>
        <v/>
      </c>
      <c r="E34" s="89">
        <f>$B$13</f>
        <v/>
      </c>
      <c r="F34" s="69">
        <f>IF(C34&gt;=$B$13,"🏆 LIVRE","—")</f>
        <v/>
      </c>
    </row>
    <row r="35">
      <c r="A35" s="69" t="n">
        <v>10</v>
      </c>
      <c r="B35" s="69">
        <f>$B$9+A35</f>
        <v/>
      </c>
      <c r="C35" s="89">
        <f>FV((1+$B$8)^(1/12)-1,A35*12,-$B$7,-$B$6)</f>
        <v/>
      </c>
      <c r="D35" s="89">
        <f>C35*$B$5/12</f>
        <v/>
      </c>
      <c r="E35" s="89">
        <f>$B$13</f>
        <v/>
      </c>
      <c r="F35" s="69">
        <f>IF(C35&gt;=$B$13,"🏆 LIVRE","—")</f>
        <v/>
      </c>
    </row>
    <row r="36">
      <c r="A36" s="69" t="n">
        <v>11</v>
      </c>
      <c r="B36" s="69">
        <f>$B$9+A36</f>
        <v/>
      </c>
      <c r="C36" s="89">
        <f>FV((1+$B$8)^(1/12)-1,A36*12,-$B$7,-$B$6)</f>
        <v/>
      </c>
      <c r="D36" s="89">
        <f>C36*$B$5/12</f>
        <v/>
      </c>
      <c r="E36" s="89">
        <f>$B$13</f>
        <v/>
      </c>
      <c r="F36" s="69">
        <f>IF(C36&gt;=$B$13,"🏆 LIVRE","—")</f>
        <v/>
      </c>
    </row>
    <row r="37">
      <c r="A37" s="69" t="n">
        <v>12</v>
      </c>
      <c r="B37" s="69">
        <f>$B$9+A37</f>
        <v/>
      </c>
      <c r="C37" s="89">
        <f>FV((1+$B$8)^(1/12)-1,A37*12,-$B$7,-$B$6)</f>
        <v/>
      </c>
      <c r="D37" s="89">
        <f>C37*$B$5/12</f>
        <v/>
      </c>
      <c r="E37" s="89">
        <f>$B$13</f>
        <v/>
      </c>
      <c r="F37" s="69">
        <f>IF(C37&gt;=$B$13,"🏆 LIVRE","—")</f>
        <v/>
      </c>
    </row>
    <row r="38">
      <c r="A38" s="69" t="n">
        <v>13</v>
      </c>
      <c r="B38" s="69">
        <f>$B$9+A38</f>
        <v/>
      </c>
      <c r="C38" s="89">
        <f>FV((1+$B$8)^(1/12)-1,A38*12,-$B$7,-$B$6)</f>
        <v/>
      </c>
      <c r="D38" s="89">
        <f>C38*$B$5/12</f>
        <v/>
      </c>
      <c r="E38" s="89">
        <f>$B$13</f>
        <v/>
      </c>
      <c r="F38" s="69">
        <f>IF(C38&gt;=$B$13,"🏆 LIVRE","—")</f>
        <v/>
      </c>
    </row>
    <row r="39">
      <c r="A39" s="69" t="n">
        <v>14</v>
      </c>
      <c r="B39" s="69">
        <f>$B$9+A39</f>
        <v/>
      </c>
      <c r="C39" s="89">
        <f>FV((1+$B$8)^(1/12)-1,A39*12,-$B$7,-$B$6)</f>
        <v/>
      </c>
      <c r="D39" s="89">
        <f>C39*$B$5/12</f>
        <v/>
      </c>
      <c r="E39" s="89">
        <f>$B$13</f>
        <v/>
      </c>
      <c r="F39" s="69">
        <f>IF(C39&gt;=$B$13,"🏆 LIVRE","—")</f>
        <v/>
      </c>
    </row>
    <row r="40">
      <c r="A40" s="69" t="n">
        <v>15</v>
      </c>
      <c r="B40" s="69">
        <f>$B$9+A40</f>
        <v/>
      </c>
      <c r="C40" s="89">
        <f>FV((1+$B$8)^(1/12)-1,A40*12,-$B$7,-$B$6)</f>
        <v/>
      </c>
      <c r="D40" s="89">
        <f>C40*$B$5/12</f>
        <v/>
      </c>
      <c r="E40" s="89">
        <f>$B$13</f>
        <v/>
      </c>
      <c r="F40" s="69">
        <f>IF(C40&gt;=$B$13,"🏆 LIVRE","—")</f>
        <v/>
      </c>
    </row>
    <row r="41">
      <c r="A41" s="69" t="n">
        <v>16</v>
      </c>
      <c r="B41" s="69">
        <f>$B$9+A41</f>
        <v/>
      </c>
      <c r="C41" s="89">
        <f>FV((1+$B$8)^(1/12)-1,A41*12,-$B$7,-$B$6)</f>
        <v/>
      </c>
      <c r="D41" s="89">
        <f>C41*$B$5/12</f>
        <v/>
      </c>
      <c r="E41" s="89">
        <f>$B$13</f>
        <v/>
      </c>
      <c r="F41" s="69">
        <f>IF(C41&gt;=$B$13,"🏆 LIVRE","—")</f>
        <v/>
      </c>
    </row>
    <row r="42">
      <c r="A42" s="69" t="n">
        <v>17</v>
      </c>
      <c r="B42" s="69">
        <f>$B$9+A42</f>
        <v/>
      </c>
      <c r="C42" s="89">
        <f>FV((1+$B$8)^(1/12)-1,A42*12,-$B$7,-$B$6)</f>
        <v/>
      </c>
      <c r="D42" s="89">
        <f>C42*$B$5/12</f>
        <v/>
      </c>
      <c r="E42" s="89">
        <f>$B$13</f>
        <v/>
      </c>
      <c r="F42" s="69">
        <f>IF(C42&gt;=$B$13,"🏆 LIVRE","—")</f>
        <v/>
      </c>
    </row>
    <row r="43">
      <c r="A43" s="69" t="n">
        <v>18</v>
      </c>
      <c r="B43" s="69">
        <f>$B$9+A43</f>
        <v/>
      </c>
      <c r="C43" s="89">
        <f>FV((1+$B$8)^(1/12)-1,A43*12,-$B$7,-$B$6)</f>
        <v/>
      </c>
      <c r="D43" s="89">
        <f>C43*$B$5/12</f>
        <v/>
      </c>
      <c r="E43" s="89">
        <f>$B$13</f>
        <v/>
      </c>
      <c r="F43" s="69">
        <f>IF(C43&gt;=$B$13,"🏆 LIVRE","—")</f>
        <v/>
      </c>
    </row>
    <row r="44">
      <c r="A44" s="69" t="n">
        <v>19</v>
      </c>
      <c r="B44" s="69">
        <f>$B$9+A44</f>
        <v/>
      </c>
      <c r="C44" s="89">
        <f>FV((1+$B$8)^(1/12)-1,A44*12,-$B$7,-$B$6)</f>
        <v/>
      </c>
      <c r="D44" s="89">
        <f>C44*$B$5/12</f>
        <v/>
      </c>
      <c r="E44" s="89">
        <f>$B$13</f>
        <v/>
      </c>
      <c r="F44" s="69">
        <f>IF(C44&gt;=$B$13,"🏆 LIVRE","—")</f>
        <v/>
      </c>
    </row>
    <row r="45">
      <c r="A45" s="69" t="n">
        <v>20</v>
      </c>
      <c r="B45" s="69">
        <f>$B$9+A45</f>
        <v/>
      </c>
      <c r="C45" s="89">
        <f>FV((1+$B$8)^(1/12)-1,A45*12,-$B$7,-$B$6)</f>
        <v/>
      </c>
      <c r="D45" s="89">
        <f>C45*$B$5/12</f>
        <v/>
      </c>
      <c r="E45" s="89">
        <f>$B$13</f>
        <v/>
      </c>
      <c r="F45" s="69">
        <f>IF(C45&gt;=$B$13,"🏆 LIVRE","—")</f>
        <v/>
      </c>
    </row>
    <row r="46">
      <c r="A46" s="69" t="n">
        <v>21</v>
      </c>
      <c r="B46" s="69">
        <f>$B$9+A46</f>
        <v/>
      </c>
      <c r="C46" s="89">
        <f>FV((1+$B$8)^(1/12)-1,A46*12,-$B$7,-$B$6)</f>
        <v/>
      </c>
      <c r="D46" s="89">
        <f>C46*$B$5/12</f>
        <v/>
      </c>
      <c r="E46" s="89">
        <f>$B$13</f>
        <v/>
      </c>
      <c r="F46" s="69">
        <f>IF(C46&gt;=$B$13,"🏆 LIVRE","—")</f>
        <v/>
      </c>
    </row>
    <row r="47">
      <c r="A47" s="69" t="n">
        <v>22</v>
      </c>
      <c r="B47" s="69">
        <f>$B$9+A47</f>
        <v/>
      </c>
      <c r="C47" s="89">
        <f>FV((1+$B$8)^(1/12)-1,A47*12,-$B$7,-$B$6)</f>
        <v/>
      </c>
      <c r="D47" s="89">
        <f>C47*$B$5/12</f>
        <v/>
      </c>
      <c r="E47" s="89">
        <f>$B$13</f>
        <v/>
      </c>
      <c r="F47" s="69">
        <f>IF(C47&gt;=$B$13,"🏆 LIVRE","—")</f>
        <v/>
      </c>
    </row>
    <row r="48">
      <c r="A48" s="69" t="n">
        <v>23</v>
      </c>
      <c r="B48" s="69">
        <f>$B$9+A48</f>
        <v/>
      </c>
      <c r="C48" s="89">
        <f>FV((1+$B$8)^(1/12)-1,A48*12,-$B$7,-$B$6)</f>
        <v/>
      </c>
      <c r="D48" s="89">
        <f>C48*$B$5/12</f>
        <v/>
      </c>
      <c r="E48" s="89">
        <f>$B$13</f>
        <v/>
      </c>
      <c r="F48" s="69">
        <f>IF(C48&gt;=$B$13,"🏆 LIVRE","—")</f>
        <v/>
      </c>
    </row>
    <row r="49">
      <c r="A49" s="69" t="n">
        <v>24</v>
      </c>
      <c r="B49" s="69">
        <f>$B$9+A49</f>
        <v/>
      </c>
      <c r="C49" s="89">
        <f>FV((1+$B$8)^(1/12)-1,A49*12,-$B$7,-$B$6)</f>
        <v/>
      </c>
      <c r="D49" s="89">
        <f>C49*$B$5/12</f>
        <v/>
      </c>
      <c r="E49" s="89">
        <f>$B$13</f>
        <v/>
      </c>
      <c r="F49" s="69">
        <f>IF(C49&gt;=$B$13,"🏆 LIVRE","—")</f>
        <v/>
      </c>
    </row>
    <row r="50">
      <c r="A50" s="69" t="n">
        <v>25</v>
      </c>
      <c r="B50" s="69">
        <f>$B$9+A50</f>
        <v/>
      </c>
      <c r="C50" s="89">
        <f>FV((1+$B$8)^(1/12)-1,A50*12,-$B$7,-$B$6)</f>
        <v/>
      </c>
      <c r="D50" s="89">
        <f>C50*$B$5/12</f>
        <v/>
      </c>
      <c r="E50" s="89">
        <f>$B$13</f>
        <v/>
      </c>
      <c r="F50" s="69">
        <f>IF(C50&gt;=$B$13,"🏆 LIVRE","—")</f>
        <v/>
      </c>
    </row>
    <row r="51">
      <c r="A51" s="69" t="n">
        <v>26</v>
      </c>
      <c r="B51" s="69">
        <f>$B$9+A51</f>
        <v/>
      </c>
      <c r="C51" s="89">
        <f>FV((1+$B$8)^(1/12)-1,A51*12,-$B$7,-$B$6)</f>
        <v/>
      </c>
      <c r="D51" s="89">
        <f>C51*$B$5/12</f>
        <v/>
      </c>
      <c r="E51" s="89">
        <f>$B$13</f>
        <v/>
      </c>
      <c r="F51" s="69">
        <f>IF(C51&gt;=$B$13,"🏆 LIVRE","—")</f>
        <v/>
      </c>
    </row>
    <row r="52">
      <c r="A52" s="69" t="n">
        <v>27</v>
      </c>
      <c r="B52" s="69">
        <f>$B$9+A52</f>
        <v/>
      </c>
      <c r="C52" s="89">
        <f>FV((1+$B$8)^(1/12)-1,A52*12,-$B$7,-$B$6)</f>
        <v/>
      </c>
      <c r="D52" s="89">
        <f>C52*$B$5/12</f>
        <v/>
      </c>
      <c r="E52" s="89">
        <f>$B$13</f>
        <v/>
      </c>
      <c r="F52" s="69">
        <f>IF(C52&gt;=$B$13,"🏆 LIVRE","—")</f>
        <v/>
      </c>
    </row>
    <row r="53">
      <c r="A53" s="69" t="n">
        <v>28</v>
      </c>
      <c r="B53" s="69">
        <f>$B$9+A53</f>
        <v/>
      </c>
      <c r="C53" s="89">
        <f>FV((1+$B$8)^(1/12)-1,A53*12,-$B$7,-$B$6)</f>
        <v/>
      </c>
      <c r="D53" s="89">
        <f>C53*$B$5/12</f>
        <v/>
      </c>
      <c r="E53" s="89">
        <f>$B$13</f>
        <v/>
      </c>
      <c r="F53" s="69">
        <f>IF(C53&gt;=$B$13,"🏆 LIVRE","—")</f>
        <v/>
      </c>
    </row>
    <row r="54">
      <c r="A54" s="69" t="n">
        <v>29</v>
      </c>
      <c r="B54" s="69">
        <f>$B$9+A54</f>
        <v/>
      </c>
      <c r="C54" s="89">
        <f>FV((1+$B$8)^(1/12)-1,A54*12,-$B$7,-$B$6)</f>
        <v/>
      </c>
      <c r="D54" s="89">
        <f>C54*$B$5/12</f>
        <v/>
      </c>
      <c r="E54" s="89">
        <f>$B$13</f>
        <v/>
      </c>
      <c r="F54" s="69">
        <f>IF(C54&gt;=$B$13,"🏆 LIVRE","—")</f>
        <v/>
      </c>
    </row>
    <row r="55">
      <c r="A55" s="69" t="n">
        <v>30</v>
      </c>
      <c r="B55" s="69">
        <f>$B$9+A55</f>
        <v/>
      </c>
      <c r="C55" s="89">
        <f>FV((1+$B$8)^(1/12)-1,A55*12,-$B$7,-$B$6)</f>
        <v/>
      </c>
      <c r="D55" s="89">
        <f>C55*$B$5/12</f>
        <v/>
      </c>
      <c r="E55" s="89">
        <f>$B$13</f>
        <v/>
      </c>
      <c r="F55" s="69">
        <f>IF(C55&gt;=$B$13,"🏆 LIVRE","—")</f>
        <v/>
      </c>
    </row>
    <row r="56">
      <c r="A56" s="69" t="n">
        <v>31</v>
      </c>
      <c r="B56" s="69">
        <f>$B$9+A56</f>
        <v/>
      </c>
      <c r="C56" s="89">
        <f>FV((1+$B$8)^(1/12)-1,A56*12,-$B$7,-$B$6)</f>
        <v/>
      </c>
      <c r="D56" s="89">
        <f>C56*$B$5/12</f>
        <v/>
      </c>
      <c r="E56" s="89">
        <f>$B$13</f>
        <v/>
      </c>
      <c r="F56" s="69">
        <f>IF(C56&gt;=$B$13,"🏆 LIVRE","—")</f>
        <v/>
      </c>
    </row>
    <row r="57">
      <c r="A57" s="69" t="n">
        <v>32</v>
      </c>
      <c r="B57" s="69">
        <f>$B$9+A57</f>
        <v/>
      </c>
      <c r="C57" s="89">
        <f>FV((1+$B$8)^(1/12)-1,A57*12,-$B$7,-$B$6)</f>
        <v/>
      </c>
      <c r="D57" s="89">
        <f>C57*$B$5/12</f>
        <v/>
      </c>
      <c r="E57" s="89">
        <f>$B$13</f>
        <v/>
      </c>
      <c r="F57" s="69">
        <f>IF(C57&gt;=$B$13,"🏆 LIVRE","—")</f>
        <v/>
      </c>
    </row>
    <row r="58">
      <c r="A58" s="69" t="n">
        <v>33</v>
      </c>
      <c r="B58" s="69">
        <f>$B$9+A58</f>
        <v/>
      </c>
      <c r="C58" s="89">
        <f>FV((1+$B$8)^(1/12)-1,A58*12,-$B$7,-$B$6)</f>
        <v/>
      </c>
      <c r="D58" s="89">
        <f>C58*$B$5/12</f>
        <v/>
      </c>
      <c r="E58" s="89">
        <f>$B$13</f>
        <v/>
      </c>
      <c r="F58" s="69">
        <f>IF(C58&gt;=$B$13,"🏆 LIVRE","—")</f>
        <v/>
      </c>
    </row>
    <row r="59">
      <c r="A59" s="69" t="n">
        <v>34</v>
      </c>
      <c r="B59" s="69">
        <f>$B$9+A59</f>
        <v/>
      </c>
      <c r="C59" s="89">
        <f>FV((1+$B$8)^(1/12)-1,A59*12,-$B$7,-$B$6)</f>
        <v/>
      </c>
      <c r="D59" s="89">
        <f>C59*$B$5/12</f>
        <v/>
      </c>
      <c r="E59" s="89">
        <f>$B$13</f>
        <v/>
      </c>
      <c r="F59" s="69">
        <f>IF(C59&gt;=$B$13,"🏆 LIVRE","—")</f>
        <v/>
      </c>
    </row>
    <row r="60">
      <c r="A60" s="69" t="n">
        <v>35</v>
      </c>
      <c r="B60" s="69">
        <f>$B$9+A60</f>
        <v/>
      </c>
      <c r="C60" s="89">
        <f>FV((1+$B$8)^(1/12)-1,A60*12,-$B$7,-$B$6)</f>
        <v/>
      </c>
      <c r="D60" s="89">
        <f>C60*$B$5/12</f>
        <v/>
      </c>
      <c r="E60" s="89">
        <f>$B$13</f>
        <v/>
      </c>
      <c r="F60" s="69">
        <f>IF(C60&gt;=$B$13,"🏆 LIVRE","—")</f>
        <v/>
      </c>
    </row>
    <row r="61">
      <c r="A61" s="69" t="n">
        <v>36</v>
      </c>
      <c r="B61" s="69">
        <f>$B$9+A61</f>
        <v/>
      </c>
      <c r="C61" s="89">
        <f>FV((1+$B$8)^(1/12)-1,A61*12,-$B$7,-$B$6)</f>
        <v/>
      </c>
      <c r="D61" s="89">
        <f>C61*$B$5/12</f>
        <v/>
      </c>
      <c r="E61" s="89">
        <f>$B$13</f>
        <v/>
      </c>
      <c r="F61" s="69">
        <f>IF(C61&gt;=$B$13,"🏆 LIVRE","—")</f>
        <v/>
      </c>
    </row>
    <row r="62">
      <c r="A62" s="69" t="n">
        <v>37</v>
      </c>
      <c r="B62" s="69">
        <f>$B$9+A62</f>
        <v/>
      </c>
      <c r="C62" s="89">
        <f>FV((1+$B$8)^(1/12)-1,A62*12,-$B$7,-$B$6)</f>
        <v/>
      </c>
      <c r="D62" s="89">
        <f>C62*$B$5/12</f>
        <v/>
      </c>
      <c r="E62" s="89">
        <f>$B$13</f>
        <v/>
      </c>
      <c r="F62" s="69">
        <f>IF(C62&gt;=$B$13,"🏆 LIVRE","—")</f>
        <v/>
      </c>
    </row>
    <row r="63">
      <c r="A63" s="69" t="n">
        <v>38</v>
      </c>
      <c r="B63" s="69">
        <f>$B$9+A63</f>
        <v/>
      </c>
      <c r="C63" s="89">
        <f>FV((1+$B$8)^(1/12)-1,A63*12,-$B$7,-$B$6)</f>
        <v/>
      </c>
      <c r="D63" s="89">
        <f>C63*$B$5/12</f>
        <v/>
      </c>
      <c r="E63" s="89">
        <f>$B$13</f>
        <v/>
      </c>
      <c r="F63" s="69">
        <f>IF(C63&gt;=$B$13,"🏆 LIVRE","—")</f>
        <v/>
      </c>
    </row>
    <row r="64">
      <c r="A64" s="69" t="n">
        <v>39</v>
      </c>
      <c r="B64" s="69">
        <f>$B$9+A64</f>
        <v/>
      </c>
      <c r="C64" s="89">
        <f>FV((1+$B$8)^(1/12)-1,A64*12,-$B$7,-$B$6)</f>
        <v/>
      </c>
      <c r="D64" s="89">
        <f>C64*$B$5/12</f>
        <v/>
      </c>
      <c r="E64" s="89">
        <f>$B$13</f>
        <v/>
      </c>
      <c r="F64" s="69">
        <f>IF(C64&gt;=$B$13,"🏆 LIVRE","—")</f>
        <v/>
      </c>
    </row>
    <row r="65">
      <c r="A65" s="69" t="n">
        <v>40</v>
      </c>
      <c r="B65" s="69">
        <f>$B$9+A65</f>
        <v/>
      </c>
      <c r="C65" s="89">
        <f>FV((1+$B$8)^(1/12)-1,A65*12,-$B$7,-$B$6)</f>
        <v/>
      </c>
      <c r="D65" s="89">
        <f>C65*$B$5/12</f>
        <v/>
      </c>
      <c r="E65" s="89">
        <f>$B$13</f>
        <v/>
      </c>
      <c r="F65" s="69">
        <f>IF(C65&gt;=$B$13,"🏆 LIVRE","—")</f>
        <v/>
      </c>
    </row>
  </sheetData>
  <mergeCells count="4">
    <mergeCell ref="D12:F12"/>
    <mergeCell ref="A3:B3"/>
    <mergeCell ref="A12:B12"/>
    <mergeCell ref="A1:H1"/>
  </mergeCells>
  <conditionalFormatting sqref="B15">
    <cfRule type="dataBar" priority="1">
      <dataBar>
        <cfvo type="num" val="0"/>
        <cfvo type="num" val="1"/>
        <color rgb="00188A5B"/>
      </dataBar>
    </cfRule>
  </conditionalFormatting>
  <conditionalFormatting sqref="B21">
    <cfRule type="cellIs" priority="2" operator="equal" dxfId="0">
      <formula>"✔ SIM"</formula>
    </cfRule>
  </conditionalFormatting>
  <conditionalFormatting sqref="F13:F16">
    <cfRule type="cellIs" priority="3" operator="equal" dxfId="0">
      <formula>"✔ Atingido"</formula>
    </cfRule>
  </conditionalFormatting>
  <conditionalFormatting sqref="A25:F65">
    <cfRule type="expression" priority="4" dxfId="6">
      <formula>$C25&gt;=$B$13</formula>
    </cfRule>
  </conditionalFormatting>
  <hyperlinks>
    <hyperlink ref="I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88A5B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1" customWidth="1" min="7" max="7"/>
    <col width="16" customWidth="1" min="8" max="8"/>
    <col width="16" customWidth="1" min="9" max="9"/>
  </cols>
  <sheetData>
    <row r="1" ht="34" customHeight="1">
      <c r="A1" s="153" t="inlineStr">
        <is>
          <t>🎯  METAS FINANCEIRAS</t>
        </is>
      </c>
      <c r="I1" s="154" t="inlineStr">
        <is>
          <t>🏠 Início</t>
        </is>
      </c>
    </row>
    <row r="2" ht="26" customHeight="1">
      <c r="A2" s="77" t="inlineStr">
        <is>
          <t>Defina suas metas (células amarelas). A planilha calcula quanto falta, o % concluído e o APORTE MENSAL necessário para chegar no prazo. Atualize a data-base abaixo.</t>
        </is>
      </c>
    </row>
    <row r="3">
      <c r="A3" s="113" t="inlineStr">
        <is>
          <t>Data-base (hoje):</t>
        </is>
      </c>
      <c r="B3" s="155" t="n">
        <v>46190</v>
      </c>
    </row>
    <row r="4" ht="30" customHeight="1">
      <c r="A4" s="156" t="inlineStr">
        <is>
          <t>Meta</t>
        </is>
      </c>
      <c r="B4" s="156" t="inlineStr">
        <is>
          <t>Valor Alvo</t>
        </is>
      </c>
      <c r="C4" s="156" t="inlineStr">
        <is>
          <t>Valor Atual</t>
        </is>
      </c>
      <c r="D4" s="156" t="inlineStr">
        <is>
          <t>Prazo (data)</t>
        </is>
      </c>
      <c r="E4" s="156" t="inlineStr">
        <is>
          <t>Falta</t>
        </is>
      </c>
      <c r="F4" s="156" t="inlineStr">
        <is>
          <t>% Concluído</t>
        </is>
      </c>
      <c r="G4" s="156" t="inlineStr">
        <is>
          <t>Meses Restantes</t>
        </is>
      </c>
      <c r="H4" s="156" t="inlineStr">
        <is>
          <t>Aporte Mensal Necessário</t>
        </is>
      </c>
      <c r="I4" s="156" t="inlineStr">
        <is>
          <t>Status</t>
        </is>
      </c>
    </row>
    <row r="5">
      <c r="A5" s="157" t="inlineStr">
        <is>
          <t>Reserva de emergência</t>
        </is>
      </c>
      <c r="B5" s="88" t="n">
        <v>36000</v>
      </c>
      <c r="C5" s="88" t="n">
        <v>23000</v>
      </c>
      <c r="D5" s="158" t="n">
        <v>46387</v>
      </c>
      <c r="E5" s="127">
        <f>IF($A5="","",MAX(0,B5-C5))</f>
        <v/>
      </c>
      <c r="F5" s="159">
        <f>IF($A5="","",IFERROR(MIN(1,C5/B5),0))</f>
        <v/>
      </c>
      <c r="G5" s="160">
        <f>IF($A5="","",MAX(1,DATEDIF($B$3,D5,"m")))</f>
        <v/>
      </c>
      <c r="H5" s="127">
        <f>IF($A5="","",IFERROR(E5/G5,0))</f>
        <v/>
      </c>
      <c r="I5" s="82">
        <f>IF($A5="","",IF(F5&gt;=1,"✔ Concluída",IF($B$3&gt;D5,"⚠ Prazo vencido","Em andamento")))</f>
        <v/>
      </c>
    </row>
    <row r="6">
      <c r="A6" s="157" t="inlineStr">
        <is>
          <t>Viagem internacional</t>
        </is>
      </c>
      <c r="B6" s="88" t="n">
        <v>15000</v>
      </c>
      <c r="C6" s="88" t="n">
        <v>4000</v>
      </c>
      <c r="D6" s="158" t="n">
        <v>46402</v>
      </c>
      <c r="E6" s="127">
        <f>IF($A6="","",MAX(0,B6-C6))</f>
        <v/>
      </c>
      <c r="F6" s="159">
        <f>IF($A6="","",IFERROR(MIN(1,C6/B6),0))</f>
        <v/>
      </c>
      <c r="G6" s="160">
        <f>IF($A6="","",MAX(1,DATEDIF($B$3,D6,"m")))</f>
        <v/>
      </c>
      <c r="H6" s="127">
        <f>IF($A6="","",IFERROR(E6/G6,0))</f>
        <v/>
      </c>
      <c r="I6" s="82">
        <f>IF($A6="","",IF(F6&gt;=1,"✔ Concluída",IF($B$3&gt;D6,"⚠ Prazo vencido","Em andamento")))</f>
        <v/>
      </c>
    </row>
    <row r="7">
      <c r="A7" s="157" t="inlineStr">
        <is>
          <t>Entrada do apartamento</t>
        </is>
      </c>
      <c r="B7" s="88" t="n">
        <v>80000</v>
      </c>
      <c r="C7" s="88" t="n">
        <v>18000</v>
      </c>
      <c r="D7" s="158" t="n">
        <v>47299</v>
      </c>
      <c r="E7" s="127">
        <f>IF($A7="","",MAX(0,B7-C7))</f>
        <v/>
      </c>
      <c r="F7" s="159">
        <f>IF($A7="","",IFERROR(MIN(1,C7/B7),0))</f>
        <v/>
      </c>
      <c r="G7" s="160">
        <f>IF($A7="","",MAX(1,DATEDIF($B$3,D7,"m")))</f>
        <v/>
      </c>
      <c r="H7" s="127">
        <f>IF($A7="","",IFERROR(E7/G7,0))</f>
        <v/>
      </c>
      <c r="I7" s="82">
        <f>IF($A7="","",IF(F7&gt;=1,"✔ Concluída",IF($B$3&gt;D7,"⚠ Prazo vencido","Em andamento")))</f>
        <v/>
      </c>
    </row>
    <row r="8">
      <c r="A8" s="157" t="inlineStr">
        <is>
          <t>Troca de carro</t>
        </is>
      </c>
      <c r="B8" s="88" t="n">
        <v>45000</v>
      </c>
      <c r="C8" s="88" t="n">
        <v>9000</v>
      </c>
      <c r="D8" s="158" t="n">
        <v>46813</v>
      </c>
      <c r="E8" s="127">
        <f>IF($A8="","",MAX(0,B8-C8))</f>
        <v/>
      </c>
      <c r="F8" s="159">
        <f>IF($A8="","",IFERROR(MIN(1,C8/B8),0))</f>
        <v/>
      </c>
      <c r="G8" s="160">
        <f>IF($A8="","",MAX(1,DATEDIF($B$3,D8,"m")))</f>
        <v/>
      </c>
      <c r="H8" s="127">
        <f>IF($A8="","",IFERROR(E8/G8,0))</f>
        <v/>
      </c>
      <c r="I8" s="82">
        <f>IF($A8="","",IF(F8&gt;=1,"✔ Concluída",IF($B$3&gt;D8,"⚠ Prazo vencido","Em andamento")))</f>
        <v/>
      </c>
    </row>
    <row r="9">
      <c r="A9" s="157" t="inlineStr">
        <is>
          <t>Curso de especialização</t>
        </is>
      </c>
      <c r="B9" s="88" t="n">
        <v>12000</v>
      </c>
      <c r="C9" s="88" t="n">
        <v>3000</v>
      </c>
      <c r="D9" s="158" t="n">
        <v>46266</v>
      </c>
      <c r="E9" s="127">
        <f>IF($A9="","",MAX(0,B9-C9))</f>
        <v/>
      </c>
      <c r="F9" s="159">
        <f>IF($A9="","",IFERROR(MIN(1,C9/B9),0))</f>
        <v/>
      </c>
      <c r="G9" s="160">
        <f>IF($A9="","",MAX(1,DATEDIF($B$3,D9,"m")))</f>
        <v/>
      </c>
      <c r="H9" s="127">
        <f>IF($A9="","",IFERROR(E9/G9,0))</f>
        <v/>
      </c>
      <c r="I9" s="82">
        <f>IF($A9="","",IF(F9&gt;=1,"✔ Concluída",IF($B$3&gt;D9,"⚠ Prazo vencido","Em andamento")))</f>
        <v/>
      </c>
    </row>
    <row r="10">
      <c r="A10" s="157" t="n"/>
      <c r="B10" s="88" t="n"/>
      <c r="C10" s="88" t="n"/>
      <c r="D10" s="158" t="n"/>
      <c r="E10" s="127">
        <f>IF($A10="","",MAX(0,B10-C10))</f>
        <v/>
      </c>
      <c r="F10" s="159">
        <f>IF($A10="","",IFERROR(MIN(1,C10/B10),0))</f>
        <v/>
      </c>
      <c r="G10" s="160">
        <f>IF($A10="","",MAX(1,DATEDIF($B$3,D10,"m")))</f>
        <v/>
      </c>
      <c r="H10" s="127">
        <f>IF($A10="","",IFERROR(E10/G10,0))</f>
        <v/>
      </c>
      <c r="I10" s="82">
        <f>IF($A10="","",IF(F10&gt;=1,"✔ Concluída",IF($B$3&gt;D10,"⚠ Prazo vencido","Em andamento")))</f>
        <v/>
      </c>
    </row>
    <row r="11">
      <c r="A11" s="157" t="n"/>
      <c r="B11" s="88" t="n"/>
      <c r="C11" s="88" t="n"/>
      <c r="D11" s="158" t="n"/>
      <c r="E11" s="127">
        <f>IF($A11="","",MAX(0,B11-C11))</f>
        <v/>
      </c>
      <c r="F11" s="159">
        <f>IF($A11="","",IFERROR(MIN(1,C11/B11),0))</f>
        <v/>
      </c>
      <c r="G11" s="160">
        <f>IF($A11="","",MAX(1,DATEDIF($B$3,D11,"m")))</f>
        <v/>
      </c>
      <c r="H11" s="127">
        <f>IF($A11="","",IFERROR(E11/G11,0))</f>
        <v/>
      </c>
      <c r="I11" s="82">
        <f>IF($A11="","",IF(F11&gt;=1,"✔ Concluída",IF($B$3&gt;D11,"⚠ Prazo vencido","Em andamento")))</f>
        <v/>
      </c>
    </row>
    <row r="12">
      <c r="A12" s="157" t="n"/>
      <c r="B12" s="88" t="n"/>
      <c r="C12" s="88" t="n"/>
      <c r="D12" s="158" t="n"/>
      <c r="E12" s="127">
        <f>IF($A12="","",MAX(0,B12-C12))</f>
        <v/>
      </c>
      <c r="F12" s="159">
        <f>IF($A12="","",IFERROR(MIN(1,C12/B12),0))</f>
        <v/>
      </c>
      <c r="G12" s="160">
        <f>IF($A12="","",MAX(1,DATEDIF($B$3,D12,"m")))</f>
        <v/>
      </c>
      <c r="H12" s="127">
        <f>IF($A12="","",IFERROR(E12/G12,0))</f>
        <v/>
      </c>
      <c r="I12" s="82">
        <f>IF($A12="","",IF(F12&gt;=1,"✔ Concluída",IF($B$3&gt;D12,"⚠ Prazo vencido","Em andamento")))</f>
        <v/>
      </c>
    </row>
    <row r="13">
      <c r="A13" s="157" t="n"/>
      <c r="B13" s="88" t="n"/>
      <c r="C13" s="88" t="n"/>
      <c r="D13" s="158" t="n"/>
      <c r="E13" s="127">
        <f>IF($A13="","",MAX(0,B13-C13))</f>
        <v/>
      </c>
      <c r="F13" s="159">
        <f>IF($A13="","",IFERROR(MIN(1,C13/B13),0))</f>
        <v/>
      </c>
      <c r="G13" s="160">
        <f>IF($A13="","",MAX(1,DATEDIF($B$3,D13,"m")))</f>
        <v/>
      </c>
      <c r="H13" s="127">
        <f>IF($A13="","",IFERROR(E13/G13,0))</f>
        <v/>
      </c>
      <c r="I13" s="82">
        <f>IF($A13="","",IF(F13&gt;=1,"✔ Concluída",IF($B$3&gt;D13,"⚠ Prazo vencido","Em andamento")))</f>
        <v/>
      </c>
    </row>
    <row r="14">
      <c r="A14" s="157" t="n"/>
      <c r="B14" s="88" t="n"/>
      <c r="C14" s="88" t="n"/>
      <c r="D14" s="158" t="n"/>
      <c r="E14" s="127">
        <f>IF($A14="","",MAX(0,B14-C14))</f>
        <v/>
      </c>
      <c r="F14" s="159">
        <f>IF($A14="","",IFERROR(MIN(1,C14/B14),0))</f>
        <v/>
      </c>
      <c r="G14" s="160">
        <f>IF($A14="","",MAX(1,DATEDIF($B$3,D14,"m")))</f>
        <v/>
      </c>
      <c r="H14" s="127">
        <f>IF($A14="","",IFERROR(E14/G14,0))</f>
        <v/>
      </c>
      <c r="I14" s="82">
        <f>IF($A14="","",IF(F14&gt;=1,"✔ Concluída",IF($B$3&gt;D14,"⚠ Prazo vencido","Em andamento")))</f>
        <v/>
      </c>
    </row>
  </sheetData>
  <mergeCells count="2">
    <mergeCell ref="A2:I2"/>
    <mergeCell ref="A1:H1"/>
  </mergeCells>
  <conditionalFormatting sqref="F5:F14">
    <cfRule type="dataBar" priority="1">
      <dataBar>
        <cfvo type="num" val="0"/>
        <cfvo type="num" val="1"/>
        <color rgb="00188A5B"/>
      </dataBar>
    </cfRule>
  </conditionalFormatting>
  <conditionalFormatting sqref="I5:I14">
    <cfRule type="cellIs" priority="2" operator="equal" dxfId="0">
      <formula>"✔ Concluída"</formula>
    </cfRule>
    <cfRule type="cellIs" priority="3" operator="equal" dxfId="1">
      <formula>"⚠ Prazo vencido"</formula>
    </cfRule>
  </conditionalFormatting>
  <hyperlinks>
    <hyperlink ref="I1" location="'Inicio'!A1"/>
  </hyperlink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 ht="34" customHeight="1">
      <c r="A1" s="161" t="inlineStr">
        <is>
          <t>📖  COMO USAR ESTA PLANILHA</t>
        </is>
      </c>
    </row>
    <row r="2" ht="22" customHeight="1">
      <c r="A2" s="3" t="inlineStr">
        <is>
          <t>VISÃO GERAL</t>
        </is>
      </c>
    </row>
    <row r="3" ht="60" customHeight="1">
      <c r="B3" s="162" t="inlineStr">
        <is>
          <t>Esta planilha reúne 6 ferramentas integradas: controle financeiro (Lançamentos), orçamento doméstico (Orçamento), carteira de investimentos (Carteira), patrimônio líquido e reserva (Patrimônio), simulador de juros compostos (Simulador), independência financeira (Independência) e metas (Metas). O Dashboard resume tudo automaticamente e a aba Início serve de menu.</t>
        </is>
      </c>
    </row>
    <row r="4" ht="30" customHeight="1">
      <c r="B4" s="162" t="inlineStr">
        <is>
          <t>REGRA DE OURO: você só edita as células AMARELAS e a aba Lançamentos. Todo o resto é fórmula e se calcula sozinho.</t>
        </is>
      </c>
    </row>
    <row r="5" ht="22" customHeight="1">
      <c r="A5" s="3" t="inlineStr">
        <is>
          <t>1) LANÇAMENTOS — o coração da planilha</t>
        </is>
      </c>
    </row>
    <row r="6" ht="75" customHeight="1">
      <c r="B6" s="162" t="inlineStr">
        <is>
          <t>Registre cada movimentação: Data, Tipo (Receita/Despesa/Investimento), Categoria, Descrição, Valor e Forma de Pagamento. Os menus suspensos evitam erros. Use o tipo 'Investimento' para aportes — assim eles não contam como despesa e sua taxa de poupança fica correta. A coluna Saldo em Caixa mostra o acumulado (mantenha os lançamentos em ordem de data, sem linhas vazias no meio).</t>
        </is>
      </c>
    </row>
    <row r="7" ht="22" customHeight="1">
      <c r="A7" s="3" t="inlineStr">
        <is>
          <t>2) ORÇAMENTO — planejado × realizado</t>
        </is>
      </c>
    </row>
    <row r="8" ht="60" customHeight="1">
      <c r="B8" s="162" t="inlineStr">
        <is>
          <t>Defina na coluna B quanto pretende gastar por mês em cada categoria. O realizado vem sozinho dos lançamentos. Célula vermelha = mês acima do orçado. A coluna '% Usado' mostra quanto do orçamento anual já foi consumido. Acompanhe SALDO DO MÊS e TAXA DE POUPANÇA (poupar 20%+ da renda é uma ótima referência).</t>
        </is>
      </c>
    </row>
    <row r="9" ht="22" customHeight="1">
      <c r="A9" s="3" t="inlineStr">
        <is>
          <t>3) CARTEIRA — seus investimentos</t>
        </is>
      </c>
    </row>
    <row r="10" ht="75" customHeight="1">
      <c r="B10" s="162" t="inlineStr">
        <is>
          <t>Cadastre cada ativo: Quantidade, Preço Médio, Preço Atual, Alvo % (quanto você quer ter naquele ativo) e Dividendos 12m. A planilha calcula resultado em R$ e %, % da carteira, yield sobre custo, retorno total (com dividendos) e REBALANCEAR (quanto comprar = positivo, ou vender = negativo, para voltar ao seu alvo). Confira se a soma dos Alvos dá 100% (há um verificador). O Resumo por Classe e os gráficos mostram sua diversificação.</t>
        </is>
      </c>
    </row>
    <row r="11" ht="22" customHeight="1">
      <c r="A11" s="3" t="inlineStr">
        <is>
          <t>4) PATRIMÔNIO — quanto você realmente tem</t>
        </is>
      </c>
    </row>
    <row r="12" ht="60" customHeight="1">
      <c r="B12" s="162" t="inlineStr">
        <is>
          <t>A cada mês registre Conta/Liquidez, Reserva, Investimentos (pode puxar o total da Carteira), Outros Ativos e Dívidas. O Patrimônio Líquido e a Variação são automáticos. No bloco da reserva de emergência, defina seu custo mensal e os meses de segurança — a meta e o % atingido aparecem na hora.</t>
        </is>
      </c>
    </row>
    <row r="13" ht="22" customHeight="1">
      <c r="A13" s="3" t="inlineStr">
        <is>
          <t>5) SIMULADOR — o poder dos juros compostos</t>
        </is>
      </c>
    </row>
    <row r="14" ht="45" customHeight="1">
      <c r="B14" s="162" t="inlineStr">
        <is>
          <t>Informe aporte inicial, aporte mensal, prazo e inflação. Compare 3 cenários (taxas editáveis), veja o patrimônio em valor de hoje (descontada a inflação), a renda mensal estimada e quanto do resultado veio de juros — não do seu bolso.</t>
        </is>
      </c>
    </row>
    <row r="15" ht="22" customHeight="1">
      <c r="A15" s="3" t="inlineStr">
        <is>
          <t>6) INDEPENDÊNCIA (FIRE) — sua liberdade tem um número</t>
        </is>
      </c>
    </row>
    <row r="16" ht="60" customHeight="1">
      <c r="B16" s="162" t="inlineStr">
        <is>
          <t>Número FIRE = custo de vida anual ÷ taxa de retirada segura (padrão 4%). A planilha calcula em quantos anos você chega lá, sua idade na independência, as variações Lean/Fat FIRE e o Coast FIRE (quanto bastaria ter hoje para, sem novos aportes, chegar à meta na idade-alvo). Use o RETORNO REAL (acima da inflação): 6% a 8% a.a. é uma faixa razoável.</t>
        </is>
      </c>
    </row>
    <row r="17" ht="22" customHeight="1">
      <c r="A17" s="3" t="inlineStr">
        <is>
          <t>7) METAS — transforme sonhos em plano</t>
        </is>
      </c>
    </row>
    <row r="18" ht="30" customHeight="1">
      <c r="B18" s="162" t="inlineStr">
        <is>
          <t>Cadastre cada objetivo com valor alvo, valor atual e prazo. A planilha mostra quanto falta, o % concluído e o APORTE MENSAL necessário para chegar no prazo. Mantenha a data-base atualizada.</t>
        </is>
      </c>
    </row>
    <row r="19" ht="22" customHeight="1">
      <c r="A19" s="3" t="inlineStr">
        <is>
          <t>DICAS PARA EXTRAIR O MÁXIMO</t>
        </is>
      </c>
    </row>
    <row r="20" ht="30" customHeight="1">
      <c r="B20" s="162" t="inlineStr">
        <is>
          <t>• Reserve 10 minutos por semana para lançar gastos e atualizar preços — consistência vale mais que perfeição.</t>
        </is>
      </c>
    </row>
    <row r="21" ht="30" customHeight="1">
      <c r="B21" s="162" t="inlineStr">
        <is>
          <t>• Antes de investir com agressividade, monte a reserva de emergência (6× o custo de vida).</t>
        </is>
      </c>
    </row>
    <row r="22" ht="30" customHeight="1">
      <c r="B22" s="162" t="inlineStr">
        <is>
          <t>• Revise o orçamento todo início de mês e ajuste as metas.</t>
        </is>
      </c>
    </row>
    <row r="23" ht="30" customHeight="1">
      <c r="B23" s="162" t="inlineStr">
        <is>
          <t>• Os dados de exemplo (jan–jun/2026) existem para você ver tudo funcionando. Substitua-os pelos seus números reais.</t>
        </is>
      </c>
    </row>
    <row r="24" ht="30" customHeight="1">
      <c r="B24" s="162" t="inlineStr">
        <is>
          <t>• Confiabilidade: todas as fórmulas usam proteção contra erros (IFERROR) e faixas de dados limitadas, para a planilha permanecer rápida e estável mesmo com muitos lançamentos.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0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4A3B8"/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  <col width="24" customWidth="1" min="7" max="7"/>
    <col width="24" customWidth="1" min="9" max="9"/>
    <col width="24" customWidth="1" min="11" max="11"/>
  </cols>
  <sheetData>
    <row r="1">
      <c r="A1" s="163" t="inlineStr">
        <is>
          <t>CATEGORIAS DE DESPESA</t>
        </is>
      </c>
      <c r="C1" s="163" t="inlineStr">
        <is>
          <t>CATEGORIAS DE RECEITA</t>
        </is>
      </c>
      <c r="E1" s="163" t="inlineStr">
        <is>
          <t>TIPOS</t>
        </is>
      </c>
      <c r="G1" s="163" t="inlineStr">
        <is>
          <t>TODAS AS CATEGORIAS</t>
        </is>
      </c>
      <c r="I1" s="163" t="inlineStr">
        <is>
          <t>FORMAS DE PAGAMENTO</t>
        </is>
      </c>
      <c r="K1" s="163" t="inlineStr">
        <is>
          <t>CLASSES DE ATIVO</t>
        </is>
      </c>
    </row>
    <row r="2">
      <c r="A2" t="inlineStr">
        <is>
          <t>Moradia</t>
        </is>
      </c>
      <c r="C2" t="inlineStr">
        <is>
          <t>Salário</t>
        </is>
      </c>
      <c r="E2" t="inlineStr">
        <is>
          <t>Receita</t>
        </is>
      </c>
      <c r="G2" t="inlineStr">
        <is>
          <t>Moradia</t>
        </is>
      </c>
      <c r="I2" t="inlineStr">
        <is>
          <t>Pix</t>
        </is>
      </c>
      <c r="K2" t="inlineStr">
        <is>
          <t>Ação</t>
        </is>
      </c>
    </row>
    <row r="3">
      <c r="A3" t="inlineStr">
        <is>
          <t>Alimentação</t>
        </is>
      </c>
      <c r="C3" t="inlineStr">
        <is>
          <t>Freelance / Renda Extra</t>
        </is>
      </c>
      <c r="E3" t="inlineStr">
        <is>
          <t>Despesa</t>
        </is>
      </c>
      <c r="G3" t="inlineStr">
        <is>
          <t>Alimentação</t>
        </is>
      </c>
      <c r="I3" t="inlineStr">
        <is>
          <t>Dinheiro</t>
        </is>
      </c>
      <c r="K3" t="inlineStr">
        <is>
          <t>FII</t>
        </is>
      </c>
    </row>
    <row r="4">
      <c r="A4" t="inlineStr">
        <is>
          <t>Transporte</t>
        </is>
      </c>
      <c r="C4" t="inlineStr">
        <is>
          <t>Dividendos e Proventos</t>
        </is>
      </c>
      <c r="E4" t="inlineStr">
        <is>
          <t>Investimento</t>
        </is>
      </c>
      <c r="G4" t="inlineStr">
        <is>
          <t>Transporte</t>
        </is>
      </c>
      <c r="I4" t="inlineStr">
        <is>
          <t>Cartão de Crédito</t>
        </is>
      </c>
      <c r="K4" t="inlineStr">
        <is>
          <t>ETF</t>
        </is>
      </c>
    </row>
    <row r="5">
      <c r="A5" t="inlineStr">
        <is>
          <t>Saúde</t>
        </is>
      </c>
      <c r="C5" t="inlineStr">
        <is>
          <t>Aluguéis</t>
        </is>
      </c>
      <c r="G5" t="inlineStr">
        <is>
          <t>Saúde</t>
        </is>
      </c>
      <c r="I5" t="inlineStr">
        <is>
          <t>Cartão de Débito</t>
        </is>
      </c>
      <c r="K5" t="inlineStr">
        <is>
          <t>BDR</t>
        </is>
      </c>
    </row>
    <row r="6">
      <c r="A6" t="inlineStr">
        <is>
          <t>Educação</t>
        </is>
      </c>
      <c r="C6" t="inlineStr">
        <is>
          <t>Reembolsos</t>
        </is>
      </c>
      <c r="G6" t="inlineStr">
        <is>
          <t>Educação</t>
        </is>
      </c>
      <c r="I6" t="inlineStr">
        <is>
          <t>Boleto</t>
        </is>
      </c>
      <c r="K6" t="inlineStr">
        <is>
          <t>Renda Fixa</t>
        </is>
      </c>
    </row>
    <row r="7">
      <c r="A7" t="inlineStr">
        <is>
          <t>Lazer</t>
        </is>
      </c>
      <c r="C7" t="inlineStr">
        <is>
          <t>Outras Receitas</t>
        </is>
      </c>
      <c r="G7" t="inlineStr">
        <is>
          <t>Lazer</t>
        </is>
      </c>
      <c r="I7" t="inlineStr">
        <is>
          <t>Transferência</t>
        </is>
      </c>
      <c r="K7" t="inlineStr">
        <is>
          <t>Cripto</t>
        </is>
      </c>
    </row>
    <row r="8">
      <c r="A8" t="inlineStr">
        <is>
          <t>Vestuário</t>
        </is>
      </c>
      <c r="G8" t="inlineStr">
        <is>
          <t>Vestuário</t>
        </is>
      </c>
      <c r="I8" t="inlineStr">
        <is>
          <t>Débito Automático</t>
        </is>
      </c>
    </row>
    <row r="9">
      <c r="A9" t="inlineStr">
        <is>
          <t>Assinaturas e Serviços</t>
        </is>
      </c>
      <c r="G9" t="inlineStr">
        <is>
          <t>Assinaturas e Serviços</t>
        </is>
      </c>
    </row>
    <row r="10">
      <c r="A10" t="inlineStr">
        <is>
          <t>Dívidas e Empréstimos</t>
        </is>
      </c>
      <c r="G10" t="inlineStr">
        <is>
          <t>Dívidas e Empréstimos</t>
        </is>
      </c>
    </row>
    <row r="11">
      <c r="A11" t="inlineStr">
        <is>
          <t>Pets</t>
        </is>
      </c>
      <c r="G11" t="inlineStr">
        <is>
          <t>Pets</t>
        </is>
      </c>
    </row>
    <row r="12">
      <c r="A12" t="inlineStr">
        <is>
          <t>Doações</t>
        </is>
      </c>
      <c r="G12" t="inlineStr">
        <is>
          <t>Doações</t>
        </is>
      </c>
    </row>
    <row r="13">
      <c r="A13" t="inlineStr">
        <is>
          <t>Outros</t>
        </is>
      </c>
      <c r="G13" t="inlineStr">
        <is>
          <t>Outros</t>
        </is>
      </c>
    </row>
    <row r="14">
      <c r="G14" t="inlineStr">
        <is>
          <t>Salário</t>
        </is>
      </c>
    </row>
    <row r="15">
      <c r="G15" t="inlineStr">
        <is>
          <t>Freelance / Renda Extra</t>
        </is>
      </c>
    </row>
    <row r="16">
      <c r="G16" t="inlineStr">
        <is>
          <t>Dividendos e Proventos</t>
        </is>
      </c>
    </row>
    <row r="17">
      <c r="G17" t="inlineStr">
        <is>
          <t>Aluguéis</t>
        </is>
      </c>
    </row>
    <row r="18">
      <c r="G18" t="inlineStr">
        <is>
          <t>Reembolsos</t>
        </is>
      </c>
    </row>
    <row r="19">
      <c r="G19" t="inlineStr">
        <is>
          <t>Outras Receitas</t>
        </is>
      </c>
    </row>
    <row r="20">
      <c r="G20" t="inlineStr">
        <is>
          <t>Aporte Investimentos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Planilha PRO</dc:creator>
  <dc:title>Planilha de Finanças &amp; Investimentos</dc:title>
  <dc:description>Controle financeiro, orçamento, carteira, simulador e independência financeira.</dc:description>
  <dcterms:created xsi:type="dcterms:W3CDTF">2026-06-17T21:57:54Z</dcterms:created>
  <dcterms:modified xsi:type="dcterms:W3CDTF">2026-06-17T21:57:55Z</dcterms:modified>
</cp:coreProperties>
</file>